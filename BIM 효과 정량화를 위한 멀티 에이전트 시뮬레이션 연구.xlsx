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8A957168-2496-42E7-A8F9-B5EA07EC72F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IM 멀티에이전트 핵심지표_유영민" sheetId="2" r:id="rId1"/>
    <sheet name="이슈 카드_BIM 사용 (90개)_유영민" sheetId="4" r:id="rId2"/>
    <sheet name="이슈 카드_BIM 미사용 (90개)_유영민" sheetId="5" r:id="rId3"/>
    <sheet name="CASE" sheetId="6" r:id="rId4"/>
    <sheet name="가중치 설명_유영민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J12" i="2"/>
  <c r="I12" i="2"/>
  <c r="H12" i="2"/>
  <c r="K11" i="2"/>
  <c r="J11" i="2"/>
  <c r="I11" i="2"/>
  <c r="H11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</calcChain>
</file>

<file path=xl/sharedStrings.xml><?xml version="1.0" encoding="utf-8"?>
<sst xmlns="http://schemas.openxmlformats.org/spreadsheetml/2006/main" count="1809" uniqueCount="510">
  <si>
    <t>BIM 효과 정량화를 위한 멀티 에이전트 시뮬레이션 - 핵심 지표 정리</t>
  </si>
  <si>
    <t>지표코드</t>
  </si>
  <si>
    <t>지표명</t>
  </si>
  <si>
    <t>영문명</t>
  </si>
  <si>
    <t>선정 이유</t>
  </si>
  <si>
    <t>계산 방법</t>
  </si>
  <si>
    <t>시뮬레이션 활용</t>
  </si>
  <si>
    <t>WD</t>
  </si>
  <si>
    <t>경고밀도</t>
  </si>
  <si>
    <t>Warning Density</t>
  </si>
  <si>
    <t>BIM 모델의 잠재적 오류를 정량화. Revit 등 BIM 소프트웨어가 발생시키는 경고 메시지(벽체 중복, 부재 연결 오류 등)의 빈도를 측정하여 모델 품질을 객관적으로 평가</t>
  </si>
  <si>
    <t>• 이슈 발생률(λ) 증가 요인으로 작용
• z(WD) 값이 높을수록 설계오류 발생 확률 상승
• 조기 발견 확률에 영향
• 리스크 방향: 높을수록 위험 ↑</t>
  </si>
  <si>
    <t>CD</t>
  </si>
  <si>
    <t>충돌밀도</t>
  </si>
  <si>
    <t>Clash Density</t>
  </si>
  <si>
    <t>분야 간 설계 간섭(구조-설비-전기 충돌)의 빈도를 측정. 프로젝트 규모 대비 충돌 건수로 계산하여 설계 협업 수준을 정량화. BIM 활용 시 3D 모델 통합으로 사전 발견 가능</t>
  </si>
  <si>
    <t>• 이슈 발생률(λ)에 가장 큰 영향 (특히 충돌 유형 이슈에 0.9 가중치)
• 조기 발견 시스템의 핵심 지표
• CD 높으면 현장 시공 오류 급증
• 리스크 방향: 높을수록 위험 ↑</t>
  </si>
  <si>
    <t>AF</t>
  </si>
  <si>
    <t>속성 채움률</t>
  </si>
  <si>
    <t>Attribute Fill Rate</t>
  </si>
  <si>
    <t>BIM 모델 객체의 정보 완성도 측정. 각 부재의 필수 속성(자재명, 규격, 수량, 제조사 등) 입력 비율로 정확한 물량 산출, 발주, 시공 계획 가능 여부 판단. BIM의 정보 품질을 직접 반영</t>
  </si>
  <si>
    <t>채워진 필수 속성 수 / 전체 필수 속성 수 × 100%</t>
  </si>
  <si>
    <t>PL</t>
  </si>
  <si>
    <t>공정 연계도</t>
  </si>
  <si>
    <t>Planning Linkage Rate</t>
  </si>
  <si>
    <t>3D BIM 모델과 4D 공정표의 통합 수준 측정. 각 BIM 객체가 시공 단계(Task)와 연결된 비율로 4D 시뮬레이션, 공정 시각화, 선행 작업 추적 가능 여부 판단. BIM 성숙도의 핵심 지표</t>
  </si>
  <si>
    <t>BIM 연결된 작업 수 / 전체 작업 수 × 100%</t>
  </si>
  <si>
    <t>【 핵심 요약 】</t>
  </si>
  <si>
    <t>• 오류 지표 (WD, CD): BIM 모델의 품질 문제 측정 - 높을수록 리스크 증가
• 품질 지표 (AF, PL): BIM 정보의 완성도 측정 - 높을수록 리스크 감소
• 4개 지표는 BIM ON/OFF 시나리오 비교의 핵심 변수
• IFC 파일과 CSV에서 자동 추출 가능하며 시뮬레이션의 모든 리스크 계산에 반영
• 이론적 근거: Eastman et al.(2011), McGraw Hill(2014), 국내외 건설 실무 사례 기반</t>
  </si>
  <si>
    <t>1.BIM 활용</t>
  </si>
  <si>
    <t>구분</t>
  </si>
  <si>
    <t>A</t>
  </si>
  <si>
    <t>B</t>
  </si>
  <si>
    <t>C</t>
  </si>
  <si>
    <t>D</t>
  </si>
  <si>
    <t>지표면조도</t>
  </si>
  <si>
    <t>모든 값은 평균 값으로 산정함</t>
  </si>
  <si>
    <t>BIM 적용</t>
  </si>
  <si>
    <t>경고 총 건수 / 연면적(㎡) × 100%</t>
  </si>
  <si>
    <t>대도시 중심부에서 고층건축물(10층 이상)이 밀집해 있는 지역.</t>
  </si>
  <si>
    <t>경고 총 건수 = 850건</t>
  </si>
  <si>
    <t>연면적 = 55,000㎡</t>
  </si>
  <si>
    <t>미해결 충돌 건수 / 연면적(㎡) × 100%</t>
  </si>
  <si>
    <t>수목이나 높이 3.5m 정도의 주택 같은 건축물이 밀집해 있는 지역. 4~9층의 중층 건물들이 산재한 지역.</t>
  </si>
  <si>
    <t>충돌 밀도 건수 = 300건</t>
  </si>
  <si>
    <t>• 이슈 발생률(λ) 감소 요인
• RFI 발생 감소에 직접 연관 (0.6 가중치)
• 문제 해결 효율성 향상 (비용·일정 영향 감소율 증가)
• 무사고 확률 증가
• 리스크 방향: 낮을수록 위험 ↓</t>
  </si>
  <si>
    <t>높이 1.5~10m 정도의 장애물(수목, 저층 건축물 등)이 산재해 있는 지역.</t>
  </si>
  <si>
    <t>채워진 필수 속성 수 = 30개</t>
  </si>
  <si>
    <t>전체 필수 속성 수 = 40개</t>
  </si>
  <si>
    <t>• 이슈 발생률(λ) 감소 (계획 단계에서 문제 예방)
• 일정 지연 감소에 큰 영향 (r_t에 0.8 가중치)
• 4D 시뮬레이션을 통한 대안 공정 재배치 가능
• 무사고 확률 증가
• 리스크 방향: 낮을수록 위험 ↓</t>
  </si>
  <si>
    <t>장애물이 거의 없고, 주변 장애물의 평균 높이가 1.5m 이하인 지역 (해안, 초원, 비행장 등).</t>
  </si>
  <si>
    <t>BIM 연결된 작업 수 = 160건</t>
  </si>
  <si>
    <t>전체 작업 수 = 400건</t>
  </si>
  <si>
    <t>전통방식</t>
  </si>
  <si>
    <t>RR</t>
  </si>
  <si>
    <t>재시공률</t>
  </si>
  <si>
    <t>Rework Ratio</t>
  </si>
  <si>
    <t>비BIM 환경에서 도면 불일치·시공오차가 잦아 철거·재시공 발생률이 높음. 공정 검측결과 및 불합격 보고(NCR) 데이터로 수집 가능하며, 원가·공기에 직접적 영향</t>
  </si>
  <si>
    <t>재시공 면적 / 전체 시공면적 × 100%</t>
  </si>
  <si>
    <t>• 재시공량(Q_rework)을 기반으로 ΔCost, ΔTime 산출
• ΔCost_rework = Q × unit_cost_rework
• RR↑ → 자재낭비(MW), 공정지연(CR) 확률 동반 상승</t>
  </si>
  <si>
    <t>재시공 면적 = 180㎡</t>
  </si>
  <si>
    <t>전체 시공면적 = 30,000㎡</t>
  </si>
  <si>
    <t>SR</t>
  </si>
  <si>
    <t>안전사고 발생률</t>
  </si>
  <si>
    <t>Safety Risk Occurrence Rate</t>
  </si>
  <si>
    <t>공정 간 동선 충돌, 위험공정 중첩 등의 사전예방 불가. 2024년 기준 총 건설 근로자수당 사상자수로 계량화 가능</t>
  </si>
  <si>
    <t>사상자수 / 총 근로자수 × 100%</t>
  </si>
  <si>
    <t>• SR↑ → 사고 이벤트 확률 λ_accident = base_λ × (1+δ·SR)
• 사고 1건당 ΔTime_stop, ΔCost_stop 적용
• 안전사고 발생 시 전체 공정 진행률 감소 반영</t>
  </si>
  <si>
    <t>사상자수 = 34,866명</t>
  </si>
  <si>
    <t>총 근로자수 = 2,084,092명</t>
  </si>
  <si>
    <t>CR</t>
  </si>
  <si>
    <t>공정 지연률</t>
  </si>
  <si>
    <t>Construction Delay Ratio</t>
  </si>
  <si>
    <t>일정변경 시 즉각적 영향 분석이 어려워 공정지연 빈도가 높음. 계획대비 실공정 비교로 정량화 가능</t>
  </si>
  <si>
    <t>지연 일수 / 총 공기 × 100%</t>
  </si>
  <si>
    <t>• 공정지연 확률 p_delay = base_p × (1+β·CD)
• ΔTime_total = Σ(지연공정별 Δt)
• 금융비용 ΔCost_fin = r × ΔTime_total</t>
  </si>
  <si>
    <t>지연 일수 = 40일</t>
  </si>
  <si>
    <t>총 근로자수 = 530일</t>
  </si>
  <si>
    <t>FC</t>
  </si>
  <si>
    <t>설계 변경 빈도</t>
  </si>
  <si>
    <t>Frequency of Change Order</t>
  </si>
  <si>
    <t>설계도면 모호성·오류로 인해 현장 작업자가 즉시 수정한 비율. FI(현장지시) 및 As-built 기록으로 추출 가능</t>
  </si>
  <si>
    <t>설계 변경 건수 / 전체 설계 항목 수 × 100%</t>
  </si>
  <si>
    <t>• FR↑ → 즉시 수정 이벤트 λ_field_fix = base_λ × FR
• 각 이벤트당 ΔTime_micro, ΔCost_micro 누적
• FR 장기 누적 시 RR·CD 계수 상향 반영</t>
  </si>
  <si>
    <t>zb</t>
  </si>
  <si>
    <t>대기경계층 시작높이 값</t>
  </si>
  <si>
    <t>설계 변경 건수 = 40건</t>
  </si>
  <si>
    <t>전체 설계 항목 수 = 100</t>
  </si>
  <si>
    <t>zg</t>
  </si>
  <si>
    <t>건축물 높이 값</t>
  </si>
  <si>
    <t>a</t>
  </si>
  <si>
    <t>지표면조도 값</t>
  </si>
  <si>
    <t>ID</t>
  </si>
  <si>
    <t>이슈명</t>
  </si>
  <si>
    <t>카테고리</t>
  </si>
  <si>
    <t>심각도</t>
  </si>
  <si>
    <t>발생단계</t>
  </si>
  <si>
    <t>지연(주)
Min</t>
  </si>
  <si>
    <t>지연(주)
Max</t>
  </si>
  <si>
    <t>비용증가(%)
Min</t>
  </si>
  <si>
    <t>비용증가(%)
Max</t>
  </si>
  <si>
    <t>상세설명</t>
  </si>
  <si>
    <t>WD
가중치</t>
  </si>
  <si>
    <t>CD
가중치</t>
  </si>
  <si>
    <t>AF
가중치</t>
  </si>
  <si>
    <t>PL
가중치</t>
  </si>
  <si>
    <t>발생확률
(%)</t>
  </si>
  <si>
    <t>공정률</t>
  </si>
  <si>
    <t>보상</t>
  </si>
  <si>
    <t>페널티</t>
  </si>
  <si>
    <t>4열</t>
  </si>
  <si>
    <t>5열</t>
  </si>
  <si>
    <t>6열</t>
  </si>
  <si>
    <t>7열</t>
  </si>
  <si>
    <t>8열</t>
  </si>
  <si>
    <t>9열</t>
  </si>
  <si>
    <t>10열</t>
  </si>
  <si>
    <t>I-01</t>
  </si>
  <si>
    <t>설계</t>
  </si>
  <si>
    <t>S3</t>
  </si>
  <si>
    <t>시공</t>
  </si>
  <si>
    <t>I-02</t>
  </si>
  <si>
    <t>S2</t>
  </si>
  <si>
    <t>I-03</t>
  </si>
  <si>
    <t>물량산출서 오류</t>
  </si>
  <si>
    <t>I-04</t>
  </si>
  <si>
    <t>외벽 알루미늄→석재 변경</t>
  </si>
  <si>
    <t>I-05</t>
  </si>
  <si>
    <t>구조 해석 오류</t>
  </si>
  <si>
    <t>보 단면 과소 설계</t>
  </si>
  <si>
    <t>I-06</t>
  </si>
  <si>
    <t>I-07</t>
  </si>
  <si>
    <t>철골 제작 도면 오류</t>
  </si>
  <si>
    <t>접합부 치수 오류로 전량 재제작</t>
  </si>
  <si>
    <t>I-08</t>
  </si>
  <si>
    <t>현장 착오 시공</t>
  </si>
  <si>
    <t>I-09</t>
  </si>
  <si>
    <t>배관 간섭으로 천장 높이 부족</t>
  </si>
  <si>
    <t>I-10</t>
  </si>
  <si>
    <t>양중 계획 부재</t>
  </si>
  <si>
    <t>I-11</t>
  </si>
  <si>
    <t>우기 장마로 토공사 중단</t>
  </si>
  <si>
    <t>예년보다 긴 장마로 터파기 중단</t>
  </si>
  <si>
    <t>I-12</t>
  </si>
  <si>
    <t>층간 높이 시공 오차</t>
  </si>
  <si>
    <t>누적 오차로 급배수 구배 부족</t>
  </si>
  <si>
    <t>I-13</t>
  </si>
  <si>
    <t>자재 발주 수량 오류</t>
  </si>
  <si>
    <t>S1</t>
  </si>
  <si>
    <t>I-14</t>
  </si>
  <si>
    <t>현장 인력 수급 차질</t>
  </si>
  <si>
    <t>I-15</t>
  </si>
  <si>
    <t>지하 매설물 미탐지</t>
  </si>
  <si>
    <t>기존 하수관 위치 미파악</t>
  </si>
  <si>
    <t>I-16</t>
  </si>
  <si>
    <t>동절기 콘크리트 양생 불량</t>
  </si>
  <si>
    <t>보온 양생 부실로 재시공</t>
  </si>
  <si>
    <t>I-17</t>
  </si>
  <si>
    <t>타워크레인 고장</t>
  </si>
  <si>
    <t>I-18</t>
  </si>
  <si>
    <t>발주자 설계 변경</t>
  </si>
  <si>
    <t>발주</t>
  </si>
  <si>
    <t>I-19</t>
  </si>
  <si>
    <t>계약 금액 오류로 분쟁</t>
  </si>
  <si>
    <t>I-20</t>
  </si>
  <si>
    <t>인허가 서류 보완 요구</t>
  </si>
  <si>
    <t>I-21</t>
  </si>
  <si>
    <t>하도급 업체 부도</t>
  </si>
  <si>
    <t>주요 설비 하도급사 부도</t>
  </si>
  <si>
    <t>I-22</t>
  </si>
  <si>
    <t>수입 자재 납품 지연</t>
  </si>
  <si>
    <t>자재</t>
  </si>
  <si>
    <t>유럽산 커튼월 제조사 파업</t>
  </si>
  <si>
    <t>I-23</t>
  </si>
  <si>
    <t>철근 가격 급등</t>
  </si>
  <si>
    <t>I-24</t>
  </si>
  <si>
    <t>맞춤 제작 자재 제작 지연</t>
  </si>
  <si>
    <t>특수 엘리베이터 제작 지연</t>
  </si>
  <si>
    <t>I-25</t>
  </si>
  <si>
    <t>자재 품질 불량 반품</t>
  </si>
  <si>
    <t>I-26</t>
  </si>
  <si>
    <t>감리 지적으로 재시공</t>
  </si>
  <si>
    <t>감리</t>
  </si>
  <si>
    <t>방수 시공 부실 지적</t>
  </si>
  <si>
    <t>I-27</t>
  </si>
  <si>
    <t>준공 검사 불합격</t>
  </si>
  <si>
    <t>준공</t>
  </si>
  <si>
    <t>소방 설비 누락 발견</t>
  </si>
  <si>
    <t>이슈탐지율
(%)</t>
  </si>
  <si>
    <t>계획</t>
  </si>
  <si>
    <t>기획/발주</t>
  </si>
  <si>
    <t>건축허가신청서, 설계 도면, 건축주 관련 서류, 건축설계도서 등 서류 보완 요청</t>
  </si>
  <si>
    <t>0-25</t>
  </si>
  <si>
    <t>예산 승인 지연</t>
  </si>
  <si>
    <t>사업비 승인 절차 지연으로 인한 기본설계 착수 지연</t>
  </si>
  <si>
    <t>도시계획 변경 가능성 미반영</t>
  </si>
  <si>
    <t>용도지역·높이규제 변경 가능성 분석 미흡으로 후속 단계 재설계 필요</t>
  </si>
  <si>
    <t>부지 소유권·지적 문제</t>
  </si>
  <si>
    <t>지적정리·지분정산 등 부지 소유권 확정 지연으로 착공일정 지연</t>
  </si>
  <si>
    <t>운영자/사용자 요구 불명확</t>
  </si>
  <si>
    <t>발주처 내부 협의 부족으로 실제 운영 요구사항이 불명확하여 설계단계 재검토 필요</t>
  </si>
  <si>
    <t>이해관계자 요구 불일치</t>
  </si>
  <si>
    <t>발주처·사용자·운영부서 요구사항이 서로 달라 설계 방향 설정 지연</t>
  </si>
  <si>
    <t>토지 소유권/등기 문제</t>
  </si>
  <si>
    <t>근저당·공유지 등기 미정리로 착공 허가 지연</t>
  </si>
  <si>
    <t>교통영향평가 지연</t>
  </si>
  <si>
    <t>교통영향평가 승인 지연으로 사업 일정 차질</t>
  </si>
  <si>
    <t>초기 환경영향 요소 누락</t>
  </si>
  <si>
    <t>소음·조망·일조 등 환경 요소 분석 부족으로 민원 발생 위험</t>
  </si>
  <si>
    <t>인근 개발계획과 충돌</t>
  </si>
  <si>
    <t>주변 개발계획과 일정·동선이 충돌해 사업 재조정 필요</t>
  </si>
  <si>
    <t>대체부지 검토 지연</t>
  </si>
  <si>
    <t>부지 적합성 검토 부족으로 대체부지 재검토 필요</t>
  </si>
  <si>
    <t>계약 조건 해석 차이</t>
  </si>
  <si>
    <t>계약 조항 해석 차이로 분쟁 위험 및 계약 체결 지연 발생</t>
  </si>
  <si>
    <t>품질 기준 미정의</t>
  </si>
  <si>
    <t>품질 기준 부재로 추후 시공·검수 기준 모호</t>
  </si>
  <si>
    <t>물류 계약(MRO) 미체결</t>
  </si>
  <si>
    <t>장비·공구·소모품 공급 계약 지연으로 초기 공정 차질 발생</t>
  </si>
  <si>
    <t>사업비 산정 오류</t>
  </si>
  <si>
    <t>초기 사업비 검토 시 자재비·노무비·간접비 예측이 과소 산정되어 이후 설계변경 및 견적 재조정 필요</t>
  </si>
  <si>
    <t>법규 반영 누락</t>
  </si>
  <si>
    <t>피난·단열·경사도 등 법규 반영 미흡으로 도면 재작성 발생</t>
  </si>
  <si>
    <t>0-50</t>
  </si>
  <si>
    <t>감리·전문가 검토 지연</t>
  </si>
  <si>
    <t>중간 검토 적체로 설계 승인 지연</t>
  </si>
  <si>
    <t>단열·결로 계획 미흡</t>
  </si>
  <si>
    <t>결로 취약부 설계 누락으로 시공 후 하자 위험 증가</t>
  </si>
  <si>
    <t>외주 Mock-up 지연</t>
  </si>
  <si>
    <t>커튼월·입면 Mock-up 승인 지연</t>
  </si>
  <si>
    <t>구조·설비 개구부 계획 누락</t>
  </si>
  <si>
    <t>구조체 개구부 계획 누락으로 설치단계 재시공 발생</t>
  </si>
  <si>
    <t>하도급사 선정 지연</t>
  </si>
  <si>
    <t>입찰</t>
  </si>
  <si>
    <t>적격한 하도급사 탐색 실패로 입찰 일정 지연</t>
  </si>
  <si>
    <t>단가 협상 지연</t>
  </si>
  <si>
    <t>원자재 변동으로 계약 금액 조정 지연</t>
  </si>
  <si>
    <t>제출서류 오류</t>
  </si>
  <si>
    <t>시공사 제출 입찰 서류 오류로 인한 평가 지연 발생</t>
  </si>
  <si>
    <t>제안설계 검토 지연</t>
  </si>
  <si>
    <t>제안설계 검토기간 부족으로 계약 체결 지연</t>
  </si>
  <si>
    <r>
      <rPr>
        <sz val="10"/>
        <color theme="1"/>
        <rFont val="Roboto"/>
      </rPr>
      <t>설비</t>
    </r>
    <r>
      <rPr>
        <sz val="10"/>
        <color theme="1"/>
        <rFont val="Roboto"/>
      </rPr>
      <t>-</t>
    </r>
    <r>
      <rPr>
        <sz val="10"/>
        <color theme="1"/>
        <rFont val="Roboto"/>
      </rPr>
      <t>구조 간섭 미발견</t>
    </r>
  </si>
  <si>
    <r>
      <rPr>
        <sz val="10"/>
        <color theme="1"/>
        <rFont val="Roboto"/>
      </rPr>
      <t xml:space="preserve">2D </t>
    </r>
    <r>
      <rPr>
        <sz val="10"/>
        <color theme="1"/>
        <rFont val="Roboto"/>
      </rPr>
      <t xml:space="preserve">도면에서 철골 빔과 </t>
    </r>
    <r>
      <rPr>
        <sz val="10"/>
        <color theme="1"/>
        <rFont val="Roboto"/>
      </rPr>
      <t xml:space="preserve">HVAC </t>
    </r>
    <r>
      <rPr>
        <sz val="10"/>
        <color theme="1"/>
        <rFont val="Roboto"/>
      </rPr>
      <t>덕트 충돌 미발견</t>
    </r>
  </si>
  <si>
    <t>25-75</t>
  </si>
  <si>
    <t>건축-구조 도면 불일치</t>
  </si>
  <si>
    <r>
      <rPr>
        <sz val="10"/>
        <color theme="1"/>
        <rFont val="Roboto"/>
      </rPr>
      <t xml:space="preserve">건축도면과 구조도면의 기둥 위치 </t>
    </r>
    <r>
      <rPr>
        <sz val="10"/>
        <color theme="1"/>
        <rFont val="Roboto"/>
      </rPr>
      <t xml:space="preserve">200mm </t>
    </r>
    <r>
      <rPr>
        <sz val="10"/>
        <color theme="1"/>
        <rFont val="Roboto"/>
      </rPr>
      <t>차이</t>
    </r>
  </si>
  <si>
    <r>
      <rPr>
        <sz val="10"/>
        <color theme="1"/>
        <rFont val="Roboto"/>
      </rPr>
      <t xml:space="preserve">수작업 물량 산출로 철근량 </t>
    </r>
    <r>
      <rPr>
        <sz val="10"/>
        <color theme="1"/>
        <rFont val="Roboto"/>
      </rPr>
      <t xml:space="preserve">15% </t>
    </r>
    <r>
      <rPr>
        <sz val="10"/>
        <color theme="1"/>
        <rFont val="Roboto"/>
      </rPr>
      <t>과소 계상</t>
    </r>
  </si>
  <si>
    <t>I-28</t>
  </si>
  <si>
    <t>I-29</t>
  </si>
  <si>
    <t>I-30</t>
  </si>
  <si>
    <r>
      <rPr>
        <sz val="10"/>
        <color theme="1"/>
        <rFont val="Roboto"/>
      </rPr>
      <t xml:space="preserve">RFI </t>
    </r>
    <r>
      <rPr>
        <sz val="10"/>
        <color theme="1"/>
        <rFont val="Roboto"/>
      </rPr>
      <t>폭증으로 공정 지연</t>
    </r>
  </si>
  <si>
    <r>
      <rPr>
        <sz val="10"/>
        <color theme="1"/>
        <rFont val="Roboto"/>
      </rPr>
      <t xml:space="preserve">정보 누락으로 월 </t>
    </r>
    <r>
      <rPr>
        <sz val="10"/>
        <color theme="1"/>
        <rFont val="Roboto"/>
      </rPr>
      <t>40-60</t>
    </r>
    <r>
      <rPr>
        <sz val="10"/>
        <color theme="1"/>
        <rFont val="Roboto"/>
      </rPr>
      <t xml:space="preserve">건 </t>
    </r>
    <r>
      <rPr>
        <sz val="10"/>
        <color theme="1"/>
        <rFont val="Roboto"/>
      </rPr>
      <t xml:space="preserve">RFI </t>
    </r>
    <r>
      <rPr>
        <sz val="10"/>
        <color theme="1"/>
        <rFont val="Roboto"/>
      </rPr>
      <t>발생</t>
    </r>
  </si>
  <si>
    <t>I-31</t>
  </si>
  <si>
    <t>I-32</t>
  </si>
  <si>
    <t>2D 오독으로 벽체 착오 시공</t>
  </si>
  <si>
    <t>I-33</t>
  </si>
  <si>
    <r>
      <rPr>
        <sz val="10"/>
        <color theme="1"/>
        <rFont val="Roboto"/>
      </rPr>
      <t>법정 천장고 미달</t>
    </r>
    <r>
      <rPr>
        <sz val="10"/>
        <color theme="1"/>
        <rFont val="Roboto"/>
      </rPr>
      <t xml:space="preserve">, </t>
    </r>
    <r>
      <rPr>
        <sz val="10"/>
        <color theme="1"/>
        <rFont val="Roboto"/>
      </rPr>
      <t>전면 재조정</t>
    </r>
  </si>
  <si>
    <t>I-34</t>
  </si>
  <si>
    <t>대형 설비 반입 동선 미확보</t>
  </si>
  <si>
    <t>I-35</t>
  </si>
  <si>
    <t>I-36</t>
  </si>
  <si>
    <t>I-37</t>
  </si>
  <si>
    <r>
      <rPr>
        <sz val="10"/>
        <color theme="1"/>
        <rFont val="Roboto"/>
      </rPr>
      <t xml:space="preserve">타일 수량 </t>
    </r>
    <r>
      <rPr>
        <sz val="10"/>
        <color theme="1"/>
        <rFont val="Roboto"/>
      </rPr>
      <t xml:space="preserve">20% </t>
    </r>
    <r>
      <rPr>
        <sz val="10"/>
        <color theme="1"/>
        <rFont val="Roboto"/>
      </rPr>
      <t>부족</t>
    </r>
  </si>
  <si>
    <t>I-38</t>
  </si>
  <si>
    <t>현장 작업 인력 부족</t>
  </si>
  <si>
    <t>I-39</t>
  </si>
  <si>
    <t>I-40</t>
  </si>
  <si>
    <t>I-41</t>
  </si>
  <si>
    <t>크레인 권상 모터 고장</t>
  </si>
  <si>
    <t>I-42</t>
  </si>
  <si>
    <r>
      <rPr>
        <sz val="10"/>
        <color theme="1"/>
        <rFont val="Roboto"/>
      </rPr>
      <t xml:space="preserve">토공 물량 </t>
    </r>
    <r>
      <rPr>
        <sz val="10"/>
        <color theme="1"/>
        <rFont val="Roboto"/>
      </rPr>
      <t xml:space="preserve">30% </t>
    </r>
    <r>
      <rPr>
        <sz val="10"/>
        <color theme="1"/>
        <rFont val="Roboto"/>
      </rPr>
      <t>과소 산정</t>
    </r>
  </si>
  <si>
    <t>I-43</t>
  </si>
  <si>
    <t>I-44</t>
  </si>
  <si>
    <t>I-45</t>
  </si>
  <si>
    <r>
      <rPr>
        <sz val="10"/>
        <color theme="1"/>
        <rFont val="Roboto"/>
      </rPr>
      <t xml:space="preserve">국제 철강 가격 </t>
    </r>
    <r>
      <rPr>
        <sz val="10"/>
        <color theme="1"/>
        <rFont val="Roboto"/>
      </rPr>
      <t xml:space="preserve">40% </t>
    </r>
    <r>
      <rPr>
        <sz val="10"/>
        <color theme="1"/>
        <rFont val="Roboto"/>
      </rPr>
      <t>상승</t>
    </r>
  </si>
  <si>
    <t>I-46</t>
  </si>
  <si>
    <t>I-47</t>
  </si>
  <si>
    <r>
      <rPr>
        <sz val="10"/>
        <color theme="1"/>
        <rFont val="Roboto"/>
      </rPr>
      <t xml:space="preserve">외벽 타일 색상 불량률 </t>
    </r>
    <r>
      <rPr>
        <sz val="10"/>
        <color theme="1"/>
        <rFont val="Roboto"/>
      </rPr>
      <t>30%</t>
    </r>
  </si>
  <si>
    <t>I-48</t>
  </si>
  <si>
    <t>I-49</t>
  </si>
  <si>
    <t>타워크레인 설치 지연</t>
  </si>
  <si>
    <t>타워크레인 설치 인허가 일정 충돌</t>
  </si>
  <si>
    <t>I-50</t>
  </si>
  <si>
    <t>거푸집·동바리 붕괴 위험 요소</t>
  </si>
  <si>
    <t>구조 안전성 재확인 필요</t>
  </si>
  <si>
    <t>I-51</t>
  </si>
  <si>
    <t>철근 배근 불일치</t>
  </si>
  <si>
    <t>철근 배근 불합격 발생</t>
  </si>
  <si>
    <t>I-52</t>
  </si>
  <si>
    <t>배관·덕트 레벨 오류</t>
  </si>
  <si>
    <t>배관 수평·수직 정밀도 부족</t>
  </si>
  <si>
    <t>I-53</t>
  </si>
  <si>
    <t>용접 품질 불량</t>
  </si>
  <si>
    <t>용접·NDT 검사 불합격</t>
  </si>
  <si>
    <t>I-54</t>
  </si>
  <si>
    <t>방음·방진 대책 미흡</t>
  </si>
  <si>
    <t>소음·진동 민원 발생</t>
  </si>
  <si>
    <t>I-55</t>
  </si>
  <si>
    <t>소방 배관 간섭</t>
  </si>
  <si>
    <t>소방·전기·설비 루트 간 충돌</t>
  </si>
  <si>
    <t>I-56</t>
  </si>
  <si>
    <t>장비 반입 경로 문제</t>
  </si>
  <si>
    <t>크레인·MEP 장비 반입 경로 오류로 재반입 계획 필요</t>
  </si>
  <si>
    <t>I-57</t>
  </si>
  <si>
    <t>골조 공정 지연</t>
  </si>
  <si>
    <t>인력·장비 부족으로 구조 공정 지연</t>
  </si>
  <si>
    <t>I-58</t>
  </si>
  <si>
    <t>벽체 두께 오차</t>
  </si>
  <si>
    <t>조적/경량벽체 두께 불일치</t>
  </si>
  <si>
    <t>I-59</t>
  </si>
  <si>
    <t>누수·침수</t>
  </si>
  <si>
    <t>배관 압력시험 실패 등으로 누수 발생</t>
  </si>
  <si>
    <t>I-60</t>
  </si>
  <si>
    <t>창호 설치 오차</t>
  </si>
  <si>
    <t>외피 공정에서 창호 수직·수평 오차 발생</t>
  </si>
  <si>
    <t>I-61</t>
  </si>
  <si>
    <t>임시전력 과부하</t>
  </si>
  <si>
    <t>임시전력 용량 부족으로 장비 정지 발생</t>
  </si>
  <si>
    <t>I-62</t>
  </si>
  <si>
    <t>소재 변경 승인 지연</t>
  </si>
  <si>
    <t>공사 중 자재 변경 승인 지연</t>
  </si>
  <si>
    <t>I-63</t>
  </si>
  <si>
    <t>안전관리 서류 미흡</t>
  </si>
  <si>
    <t>교육·TBM 등 안전 서류 누락</t>
  </si>
  <si>
    <t>I-64</t>
  </si>
  <si>
    <t>콘크리트 품질 불량</t>
  </si>
  <si>
    <t>슬럼프·압축강도 시험 불합격으로 재타설 필요</t>
  </si>
  <si>
    <t>I-65</t>
  </si>
  <si>
    <t>고소작업 안전 미확보</t>
  </si>
  <si>
    <t>고소작업대 안전장치 미설치로 작업 중단</t>
  </si>
  <si>
    <t>I-66</t>
  </si>
  <si>
    <t>검사·승인 지연</t>
  </si>
  <si>
    <t>감리 승인 대기 증가로 공정 지체</t>
  </si>
  <si>
    <t>25-100</t>
  </si>
  <si>
    <t>I-67</t>
  </si>
  <si>
    <t>품질기준 적용 불일치</t>
  </si>
  <si>
    <t>감리-시공 간 품질기준 해석 차이 발생</t>
  </si>
  <si>
    <t>I-68</t>
  </si>
  <si>
    <t>감리 승인 지연</t>
  </si>
  <si>
    <t>공정검측·자재승인 등 감리 확인 절차 지연으로 작업대기 발생</t>
  </si>
  <si>
    <t>I-69</t>
  </si>
  <si>
    <t>감리 지적 반복 발생</t>
  </si>
  <si>
    <t>동일 지적사항이 반복되어 공정 차질 발생</t>
  </si>
  <si>
    <t>I-70</t>
  </si>
  <si>
    <t>검사 서류 누락</t>
  </si>
  <si>
    <t>품질·안전·자재 검사 서류 누락으로 승인 지연</t>
  </si>
  <si>
    <t>I-71</t>
  </si>
  <si>
    <t>시정조치 미흡</t>
  </si>
  <si>
    <t>감리 시정조치 항목이 부분적으로만 이행되어 재확인 필요</t>
  </si>
  <si>
    <t>I-72</t>
  </si>
  <si>
    <t>공정검측 일정 불일치</t>
  </si>
  <si>
    <t>시공사 검측 요청과 감리단 일정 충돌로 검사 지연</t>
  </si>
  <si>
    <t>I-73</t>
  </si>
  <si>
    <t>감리단 변경(인력 교체)</t>
  </si>
  <si>
    <t>감리 인력 교체로 검토 품질 및 속도 저하</t>
  </si>
  <si>
    <t>I-74</t>
  </si>
  <si>
    <t>시험성적 미확인</t>
  </si>
  <si>
    <t>자재·장비 시험성적서 검증 누락</t>
  </si>
  <si>
    <t>I-75</t>
  </si>
  <si>
    <t>부분 사용승인 지연</t>
  </si>
  <si>
    <t>임시사용·부분사용 승인 절차가 지연됨</t>
  </si>
  <si>
    <t>I-76</t>
  </si>
  <si>
    <t>예산 집행 지연</t>
  </si>
  <si>
    <t>금융</t>
  </si>
  <si>
    <t>PF대출 집행 지연으로 자금흐름 불안·공사비 지급 지연 발생</t>
  </si>
  <si>
    <t>0-100</t>
  </si>
  <si>
    <t>I-77</t>
  </si>
  <si>
    <t>금리 변동으로 인한 비용 증가</t>
  </si>
  <si>
    <t>금리 인상으로 PF 이자 비용 증가</t>
  </si>
  <si>
    <t>I-78</t>
  </si>
  <si>
    <t>금융 약정 위반 위험</t>
  </si>
  <si>
    <t>공정 지연·분양률 미달로 사업약정 위반 가능성</t>
  </si>
  <si>
    <t>I-79</t>
  </si>
  <si>
    <t>중도금 대출 실행 지연</t>
  </si>
  <si>
    <t>수분양자 대출 승인 지연 → 시공비 유입 지체</t>
  </si>
  <si>
    <t>I-80</t>
  </si>
  <si>
    <t>금융기관 현장점검 지적</t>
  </si>
  <si>
    <t>PF 기관 현장점검에서 공정·품질 지적 발생</t>
  </si>
  <si>
    <t>I-81</t>
  </si>
  <si>
    <t>분양률 미달로 인한 자금 부족</t>
  </si>
  <si>
    <t>분양률 저조로 공사비 유동성 악화</t>
  </si>
  <si>
    <t>I-82</t>
  </si>
  <si>
    <t>75-100</t>
  </si>
  <si>
    <t>I-83</t>
  </si>
  <si>
    <t>공조·환기 성능 미달</t>
  </si>
  <si>
    <t>제연 TAB 성능시험 불합격</t>
  </si>
  <si>
    <t>I-84</t>
  </si>
  <si>
    <t>마감 오염·스크래치</t>
  </si>
  <si>
    <t>준공 직전 마감 품질 저하</t>
  </si>
  <si>
    <t>I-85</t>
  </si>
  <si>
    <t>가구 실측 치수 상이</t>
  </si>
  <si>
    <t>치수 오차로 가구 설치 등 충돌 발생</t>
  </si>
  <si>
    <t>I-86</t>
  </si>
  <si>
    <t>As-built 도면 준비 미흡</t>
  </si>
  <si>
    <t>시공내용 반영된 준공도서 미비</t>
  </si>
  <si>
    <t>I-87</t>
  </si>
  <si>
    <t>자동제어·BAS 오류</t>
  </si>
  <si>
    <t>BAS 센서·밸브 연동 테스트 실패</t>
  </si>
  <si>
    <t>I-88</t>
  </si>
  <si>
    <t>소방 종합점검 지적</t>
  </si>
  <si>
    <t>감지기·스프링클러 배선 오류</t>
  </si>
  <si>
    <t>I-89</t>
  </si>
  <si>
    <t>공동구간 냉기·누기</t>
  </si>
  <si>
    <t>MEP 단열 불량으로 냉기·누기 발생</t>
  </si>
  <si>
    <t>I-90</t>
  </si>
  <si>
    <t>소방·전기 시설 등 재검사 필요</t>
  </si>
  <si>
    <t>소방·전기·승강기 등 법정점검에서 경미한 불합격 사항 발생으로 재검 요청 및 일정 지연</t>
  </si>
  <si>
    <t>RR
가중치</t>
  </si>
  <si>
    <t>SR
가중치</t>
  </si>
  <si>
    <t>CR
가중치</t>
  </si>
  <si>
    <t>FC
가중치</t>
  </si>
  <si>
    <r>
      <rPr>
        <sz val="10"/>
        <color theme="1"/>
        <rFont val="Roboto"/>
      </rPr>
      <t>설비</t>
    </r>
    <r>
      <rPr>
        <sz val="10"/>
        <color theme="1"/>
        <rFont val="Roboto"/>
      </rPr>
      <t>-</t>
    </r>
    <r>
      <rPr>
        <sz val="10"/>
        <color theme="1"/>
        <rFont val="Roboto"/>
      </rPr>
      <t>구조 간섭 미발견</t>
    </r>
  </si>
  <si>
    <r>
      <rPr>
        <sz val="10"/>
        <color theme="1"/>
        <rFont val="Roboto"/>
      </rPr>
      <t xml:space="preserve">2D </t>
    </r>
    <r>
      <rPr>
        <sz val="10"/>
        <color theme="1"/>
        <rFont val="Roboto"/>
      </rPr>
      <t xml:space="preserve">도면에서 철골 빔과 </t>
    </r>
    <r>
      <rPr>
        <sz val="10"/>
        <color theme="1"/>
        <rFont val="Roboto"/>
      </rPr>
      <t xml:space="preserve">HVAC </t>
    </r>
    <r>
      <rPr>
        <sz val="10"/>
        <color theme="1"/>
        <rFont val="Roboto"/>
      </rPr>
      <t>덕트 충돌 미발견</t>
    </r>
  </si>
  <si>
    <r>
      <rPr>
        <sz val="10"/>
        <color theme="1"/>
        <rFont val="Roboto"/>
      </rPr>
      <t xml:space="preserve">건축도면과 구조도면의 기둥 위치 </t>
    </r>
    <r>
      <rPr>
        <sz val="10"/>
        <color theme="1"/>
        <rFont val="Roboto"/>
      </rPr>
      <t xml:space="preserve">200mm </t>
    </r>
    <r>
      <rPr>
        <sz val="10"/>
        <color theme="1"/>
        <rFont val="Roboto"/>
      </rPr>
      <t>차이</t>
    </r>
  </si>
  <si>
    <r>
      <rPr>
        <sz val="10"/>
        <color theme="1"/>
        <rFont val="Roboto"/>
      </rPr>
      <t xml:space="preserve">수작업 물량 산출로 철근량 </t>
    </r>
    <r>
      <rPr>
        <sz val="10"/>
        <color theme="1"/>
        <rFont val="Roboto"/>
      </rPr>
      <t xml:space="preserve">15% </t>
    </r>
    <r>
      <rPr>
        <sz val="10"/>
        <color theme="1"/>
        <rFont val="Roboto"/>
      </rPr>
      <t>과소 계상</t>
    </r>
  </si>
  <si>
    <r>
      <rPr>
        <sz val="10"/>
        <color theme="1"/>
        <rFont val="Roboto"/>
      </rPr>
      <t xml:space="preserve">RFI </t>
    </r>
    <r>
      <rPr>
        <sz val="10"/>
        <color theme="1"/>
        <rFont val="Roboto"/>
      </rPr>
      <t>폭증으로 공정 지연</t>
    </r>
  </si>
  <si>
    <r>
      <rPr>
        <sz val="10"/>
        <color theme="1"/>
        <rFont val="Roboto"/>
      </rPr>
      <t xml:space="preserve">정보 누락으로 월 </t>
    </r>
    <r>
      <rPr>
        <sz val="10"/>
        <color theme="1"/>
        <rFont val="Roboto"/>
      </rPr>
      <t>40-60</t>
    </r>
    <r>
      <rPr>
        <sz val="10"/>
        <color theme="1"/>
        <rFont val="Roboto"/>
      </rPr>
      <t xml:space="preserve">건 </t>
    </r>
    <r>
      <rPr>
        <sz val="10"/>
        <color theme="1"/>
        <rFont val="Roboto"/>
      </rPr>
      <t xml:space="preserve">RFI </t>
    </r>
    <r>
      <rPr>
        <sz val="10"/>
        <color theme="1"/>
        <rFont val="Roboto"/>
      </rPr>
      <t>발생</t>
    </r>
  </si>
  <si>
    <r>
      <rPr>
        <sz val="10"/>
        <color theme="1"/>
        <rFont val="Roboto"/>
      </rPr>
      <t>법정 천장고 미달</t>
    </r>
    <r>
      <rPr>
        <sz val="10"/>
        <color theme="1"/>
        <rFont val="Roboto"/>
      </rPr>
      <t xml:space="preserve">, </t>
    </r>
    <r>
      <rPr>
        <sz val="10"/>
        <color theme="1"/>
        <rFont val="Roboto"/>
      </rPr>
      <t>전면 재조정</t>
    </r>
  </si>
  <si>
    <r>
      <rPr>
        <sz val="10"/>
        <color theme="1"/>
        <rFont val="Roboto"/>
      </rPr>
      <t xml:space="preserve">타일 수량 </t>
    </r>
    <r>
      <rPr>
        <sz val="10"/>
        <color theme="1"/>
        <rFont val="Roboto"/>
      </rPr>
      <t xml:space="preserve">20% </t>
    </r>
    <r>
      <rPr>
        <sz val="10"/>
        <color theme="1"/>
        <rFont val="Roboto"/>
      </rPr>
      <t>부족</t>
    </r>
  </si>
  <si>
    <r>
      <rPr>
        <sz val="10"/>
        <color theme="1"/>
        <rFont val="Roboto"/>
      </rPr>
      <t xml:space="preserve">토공 물량 </t>
    </r>
    <r>
      <rPr>
        <sz val="10"/>
        <color theme="1"/>
        <rFont val="Roboto"/>
      </rPr>
      <t xml:space="preserve">30% </t>
    </r>
    <r>
      <rPr>
        <sz val="10"/>
        <color theme="1"/>
        <rFont val="Roboto"/>
      </rPr>
      <t>과소 산정</t>
    </r>
  </si>
  <si>
    <r>
      <rPr>
        <sz val="10"/>
        <color theme="1"/>
        <rFont val="Roboto"/>
      </rPr>
      <t xml:space="preserve">국제 철강 가격 </t>
    </r>
    <r>
      <rPr>
        <sz val="10"/>
        <color theme="1"/>
        <rFont val="Roboto"/>
      </rPr>
      <t xml:space="preserve">40% </t>
    </r>
    <r>
      <rPr>
        <sz val="10"/>
        <color theme="1"/>
        <rFont val="Roboto"/>
      </rPr>
      <t>상승</t>
    </r>
  </si>
  <si>
    <r>
      <rPr>
        <sz val="10"/>
        <color theme="1"/>
        <rFont val="Roboto"/>
      </rPr>
      <t xml:space="preserve">외벽 타일 색상 불량률 </t>
    </r>
    <r>
      <rPr>
        <sz val="10"/>
        <color theme="1"/>
        <rFont val="Roboto"/>
      </rPr>
      <t>30%</t>
    </r>
  </si>
  <si>
    <t>거리</t>
  </si>
  <si>
    <t>용적율</t>
  </si>
  <si>
    <t>도심</t>
  </si>
  <si>
    <t>외곽</t>
  </si>
  <si>
    <t>• 평가요소별 CASE 메트릭스 작성</t>
  </si>
  <si>
    <t>상업지역</t>
  </si>
  <si>
    <t>중심상업지역 A</t>
  </si>
  <si>
    <t>유통상업지역 A</t>
  </si>
  <si>
    <t>일반상업지역 A
유통상업지역 A</t>
  </si>
  <si>
    <t>중심상업지역 A
일반상업지역 A
유통상업지역 A</t>
  </si>
  <si>
    <t>중심상업지역 A
일반상업지역 A</t>
  </si>
  <si>
    <t>주거지역</t>
  </si>
  <si>
    <t>준주거지역 A</t>
  </si>
  <si>
    <t>근린상업지역 A
유통상업지역 A</t>
  </si>
  <si>
    <t>일반상업지역 A
근린상업지역 A
유통상업지역 A</t>
  </si>
  <si>
    <t>중심상업지역 A
일반상업지역 A
근린상업지역 A
유통상업지역 A</t>
  </si>
  <si>
    <t>공업지역</t>
  </si>
  <si>
    <t>전용공업지역 B</t>
  </si>
  <si>
    <t>전용공업지역 B
일반공업지역 B
준공업지역 B</t>
  </si>
  <si>
    <t>준공업지역 B</t>
  </si>
  <si>
    <t>제1종 일반 B</t>
  </si>
  <si>
    <t>제1종 일반 B
제2종 일반 A</t>
  </si>
  <si>
    <t>제2종 일반 A
준주거지역 A</t>
  </si>
  <si>
    <t>제1종 전용 B</t>
  </si>
  <si>
    <t>제2종 전용 B
제1종 일반 B</t>
  </si>
  <si>
    <t>제2종 일반 A
제3종 일반 A
준주거지역 A</t>
  </si>
  <si>
    <t>제3종 일반 A
준주거지역 A</t>
  </si>
  <si>
    <t>관리지역</t>
  </si>
  <si>
    <t>계획관리지역 B</t>
  </si>
  <si>
    <t>녹지지역</t>
  </si>
  <si>
    <t>보전녹지지역 C
생산녹지지역 C
자연녹지지역 C</t>
  </si>
  <si>
    <t>생산녹지지역 C
자연녹지지역 C</t>
  </si>
  <si>
    <t>보전관리지역 B
생산관리지역 B
계획관리지역 B</t>
  </si>
  <si>
    <t>농림지역</t>
  </si>
  <si>
    <t>농림지역 D</t>
  </si>
  <si>
    <t>자연환경보전지역</t>
  </si>
  <si>
    <t>자연환경보전지역 D</t>
  </si>
  <si>
    <t>도심지역</t>
  </si>
  <si>
    <t>제2종전용주거지역 : 50퍼센트 이상 150퍼센트 이하</t>
  </si>
  <si>
    <t>제2종일반주거지역 : 100퍼센트 이상 250퍼센트 이하
제3종일반주거지역 : 100퍼센트 이상 300퍼센트 이하</t>
  </si>
  <si>
    <t>중심상업지역 : 200퍼센트 이상 1천500퍼센트 이하
일반상업지역 : 200퍼센트 이상 1천300퍼센트 이하</t>
  </si>
  <si>
    <t>일반공업지역 : 150퍼센트 이상 350퍼센트 이하
준공업지역 : 150퍼센트 이상 400퍼센트 이하</t>
  </si>
  <si>
    <t>제2종 일반 A</t>
  </si>
  <si>
    <t>제2종 일반 A
제3종 일반 A</t>
  </si>
  <si>
    <t>용도지역</t>
  </si>
  <si>
    <t>건폐율</t>
  </si>
  <si>
    <t xml:space="preserve">CASE </t>
  </si>
  <si>
    <t>정의</t>
  </si>
  <si>
    <t>단위</t>
  </si>
  <si>
    <t>warnings/1000 elements</t>
  </si>
  <si>
    <t>중요 이슈</t>
  </si>
  <si>
    <t>clashes/m³</t>
  </si>
  <si>
    <t>%</t>
  </si>
  <si>
    <t>※ 가중치 해석</t>
  </si>
  <si>
    <t>• 가중치가 높을수록 해당 지표로 이슈를 탐지하기 쉬움</t>
  </si>
  <si>
    <r>
      <rPr>
        <b/>
        <sz val="13"/>
        <color theme="1"/>
        <rFont val="Cambria"/>
        <family val="1"/>
      </rPr>
      <t xml:space="preserve">BIM </t>
    </r>
    <r>
      <rPr>
        <b/>
        <sz val="13"/>
        <color theme="1"/>
        <rFont val="Noto Sans CJK SC"/>
      </rPr>
      <t>품질 지표 가중치 설명</t>
    </r>
  </si>
  <si>
    <r>
      <rPr>
        <b/>
        <sz val="11"/>
        <color theme="1"/>
        <rFont val="Cambria"/>
        <family val="1"/>
      </rPr>
      <t>WD (</t>
    </r>
    <r>
      <rPr>
        <b/>
        <sz val="11"/>
        <color theme="1"/>
        <rFont val="Noto Sans CJK SC"/>
      </rPr>
      <t>경고밀도</t>
    </r>
    <r>
      <rPr>
        <b/>
        <sz val="11"/>
        <color theme="1"/>
        <rFont val="Cambria"/>
        <family val="1"/>
      </rPr>
      <t>) - Warning Density</t>
    </r>
  </si>
  <si>
    <r>
      <rPr>
        <sz val="11"/>
        <color theme="1"/>
        <rFont val="Noto Sans CJK SC"/>
      </rPr>
      <t xml:space="preserve">모델링 규칙 위반 경고 개수 </t>
    </r>
    <r>
      <rPr>
        <sz val="11"/>
        <color theme="1"/>
        <rFont val="Calibri"/>
        <family val="2"/>
      </rPr>
      <t xml:space="preserve">/ </t>
    </r>
    <r>
      <rPr>
        <sz val="11"/>
        <color theme="1"/>
        <rFont val="Noto Sans CJK SC"/>
      </rPr>
      <t>총 요소 수</t>
    </r>
  </si>
  <si>
    <r>
      <rPr>
        <sz val="11"/>
        <color theme="1"/>
        <rFont val="Calibri"/>
        <family val="2"/>
      </rPr>
      <t>I-26 (</t>
    </r>
    <r>
      <rPr>
        <sz val="11"/>
        <color theme="1"/>
        <rFont val="Arial"/>
        <family val="2"/>
      </rPr>
      <t>건축-구조 도면 불일치</t>
    </r>
    <r>
      <rPr>
        <sz val="11"/>
        <color theme="1"/>
        <rFont val="Calibri"/>
        <family val="2"/>
      </rPr>
      <t>), I-29 (</t>
    </r>
    <r>
      <rPr>
        <sz val="11"/>
        <color theme="1"/>
        <rFont val="Arial"/>
        <family val="2"/>
      </rPr>
      <t>구조 해석 오류</t>
    </r>
    <r>
      <rPr>
        <sz val="11"/>
        <color theme="1"/>
        <rFont val="Calibri"/>
        <family val="2"/>
      </rPr>
      <t>), I-36 (</t>
    </r>
    <r>
      <rPr>
        <sz val="11"/>
        <color theme="1"/>
        <rFont val="Arial"/>
        <family val="2"/>
      </rPr>
      <t>층간 높이 시공 오차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</si>
  <si>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mbria"/>
        <family val="1"/>
      </rPr>
      <t>CD (</t>
    </r>
    <r>
      <rPr>
        <b/>
        <sz val="11"/>
        <color theme="1"/>
        <rFont val="Noto Sans CJK SC"/>
      </rPr>
      <t>충돌밀도</t>
    </r>
    <r>
      <rPr>
        <b/>
        <sz val="11"/>
        <color theme="1"/>
        <rFont val="Cambria"/>
        <family val="1"/>
      </rPr>
      <t>) - Clash Density</t>
    </r>
  </si>
  <si>
    <r>
      <rPr>
        <sz val="11"/>
        <color theme="1"/>
        <rFont val="Noto Sans CJK SC"/>
      </rPr>
      <t>설비</t>
    </r>
    <r>
      <rPr>
        <sz val="11"/>
        <color theme="1"/>
        <rFont val="Calibri"/>
        <family val="2"/>
      </rPr>
      <t>-</t>
    </r>
    <r>
      <rPr>
        <sz val="11"/>
        <color theme="1"/>
        <rFont val="Noto Sans CJK SC"/>
      </rPr>
      <t>구조</t>
    </r>
    <r>
      <rPr>
        <sz val="11"/>
        <color theme="1"/>
        <rFont val="Calibri"/>
        <family val="2"/>
      </rPr>
      <t>-</t>
    </r>
    <r>
      <rPr>
        <sz val="11"/>
        <color theme="1"/>
        <rFont val="Noto Sans CJK SC"/>
      </rPr>
      <t xml:space="preserve">건축 간 </t>
    </r>
    <r>
      <rPr>
        <sz val="11"/>
        <color theme="1"/>
        <rFont val="Calibri"/>
        <family val="2"/>
      </rPr>
      <t xml:space="preserve">3D </t>
    </r>
    <r>
      <rPr>
        <sz val="11"/>
        <color theme="1"/>
        <rFont val="Noto Sans CJK SC"/>
      </rPr>
      <t xml:space="preserve">충돌 개수 </t>
    </r>
    <r>
      <rPr>
        <sz val="11"/>
        <color theme="1"/>
        <rFont val="Calibri"/>
        <family val="2"/>
      </rPr>
      <t xml:space="preserve">/ </t>
    </r>
    <r>
      <rPr>
        <sz val="11"/>
        <color theme="1"/>
        <rFont val="Noto Sans CJK SC"/>
      </rPr>
      <t>체적</t>
    </r>
    <r>
      <rPr>
        <sz val="11"/>
        <color theme="1"/>
        <rFont val="Calibri"/>
        <family val="2"/>
      </rPr>
      <t>(m³)</t>
    </r>
  </si>
  <si>
    <r>
      <rPr>
        <sz val="11"/>
        <color theme="1"/>
        <rFont val="Calibri"/>
        <family val="2"/>
      </rPr>
      <t>I-25 (</t>
    </r>
    <r>
      <rPr>
        <sz val="11"/>
        <color theme="1"/>
        <rFont val="Arial"/>
        <family val="2"/>
      </rPr>
      <t>설비-구조 간섭 미발견</t>
    </r>
    <r>
      <rPr>
        <sz val="11"/>
        <color theme="1"/>
        <rFont val="Calibri"/>
        <family val="2"/>
      </rPr>
      <t>), I-31 (</t>
    </r>
    <r>
      <rPr>
        <sz val="11"/>
        <color theme="1"/>
        <rFont val="Arial"/>
        <family val="2"/>
      </rPr>
      <t>철골 제작 도면 오류</t>
    </r>
    <r>
      <rPr>
        <sz val="11"/>
        <color theme="1"/>
        <rFont val="Calibri"/>
        <family val="2"/>
      </rPr>
      <t>), I-09 (</t>
    </r>
    <r>
      <rPr>
        <sz val="11"/>
        <color theme="1"/>
        <rFont val="Arial"/>
        <family val="2"/>
      </rPr>
      <t>배관 간섭으로 천장 높이 부족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</si>
  <si>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mbria"/>
        <family val="1"/>
      </rPr>
      <t>AF (</t>
    </r>
    <r>
      <rPr>
        <b/>
        <sz val="11"/>
        <color theme="1"/>
        <rFont val="Noto Sans CJK SC"/>
      </rPr>
      <t>속성채움률</t>
    </r>
    <r>
      <rPr>
        <b/>
        <sz val="11"/>
        <color theme="1"/>
        <rFont val="Cambria"/>
        <family val="1"/>
      </rPr>
      <t>) - Attribute Filling Rate</t>
    </r>
  </si>
  <si>
    <r>
      <rPr>
        <sz val="11"/>
        <color theme="1"/>
        <rFont val="Noto Sans CJK SC"/>
      </rPr>
      <t xml:space="preserve">필수 속성 채워진 비율 </t>
    </r>
    <r>
      <rPr>
        <sz val="11"/>
        <color theme="1"/>
        <rFont val="Calibri"/>
        <family val="2"/>
      </rPr>
      <t>(</t>
    </r>
    <r>
      <rPr>
        <sz val="11"/>
        <color theme="1"/>
        <rFont val="Noto Sans CJK SC"/>
      </rPr>
      <t>재질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Noto Sans CJK SC"/>
      </rPr>
      <t>규격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Noto Sans CJK SC"/>
      </rPr>
      <t>코드 등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</si>
  <si>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I-27 (</t>
    </r>
    <r>
      <rPr>
        <sz val="11"/>
        <color theme="1"/>
        <rFont val="Arial"/>
        <family val="2"/>
      </rPr>
      <t>물량산출서 오류</t>
    </r>
    <r>
      <rPr>
        <sz val="11"/>
        <color theme="1"/>
        <rFont val="Calibri"/>
        <family val="2"/>
      </rPr>
      <t>), I-30 (RFI 폭증으로 공정 지연), I-37 (</t>
    </r>
    <r>
      <rPr>
        <sz val="11"/>
        <color theme="1"/>
        <rFont val="Arial"/>
        <family val="2"/>
      </rPr>
      <t>자재 발주 수량 오류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</si>
  <si>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mbria"/>
        <family val="1"/>
      </rPr>
      <t>PL (Phase</t>
    </r>
    <r>
      <rPr>
        <b/>
        <sz val="11"/>
        <color theme="1"/>
        <rFont val="Noto Sans CJK SC"/>
      </rPr>
      <t>연결률</t>
    </r>
    <r>
      <rPr>
        <b/>
        <sz val="11"/>
        <color theme="1"/>
        <rFont val="Cambria"/>
        <family val="1"/>
      </rPr>
      <t>) - Phase Linking Rate</t>
    </r>
  </si>
  <si>
    <r>
      <rPr>
        <sz val="11"/>
        <color theme="1"/>
        <rFont val="Calibri"/>
        <family val="2"/>
      </rPr>
      <t xml:space="preserve">4D </t>
    </r>
    <r>
      <rPr>
        <sz val="11"/>
        <color theme="1"/>
        <rFont val="Noto Sans CJK SC"/>
      </rPr>
      <t>시공 단계가 연결된 요소 비율</t>
    </r>
  </si>
  <si>
    <r>
      <rPr>
        <sz val="11"/>
        <color theme="1"/>
        <rFont val="Calibri"/>
        <family val="2"/>
      </rPr>
      <t>I-09 (</t>
    </r>
    <r>
      <rPr>
        <sz val="11"/>
        <color theme="1"/>
        <rFont val="Arial"/>
        <family val="2"/>
      </rPr>
      <t>시공 순서 충돌</t>
    </r>
    <r>
      <rPr>
        <sz val="11"/>
        <color theme="1"/>
        <rFont val="Calibri"/>
        <family val="2"/>
      </rPr>
      <t>), I-34 (</t>
    </r>
    <r>
      <rPr>
        <sz val="11"/>
        <color theme="1"/>
        <rFont val="Arial"/>
        <family val="2"/>
      </rPr>
      <t>양중 계획 부재</t>
    </r>
    <r>
      <rPr>
        <sz val="11"/>
        <color theme="1"/>
        <rFont val="Calibri"/>
        <family val="2"/>
      </rPr>
      <t>), I-40 (</t>
    </r>
    <r>
      <rPr>
        <sz val="11"/>
        <color theme="1"/>
        <rFont val="Arial"/>
        <family val="2"/>
      </rPr>
      <t>동절기 콘크리트 양생 불량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</si>
  <si>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Noto Sans CJK SC"/>
      </rPr>
      <t xml:space="preserve">• 각 이슈마다 </t>
    </r>
    <r>
      <rPr>
        <sz val="11"/>
        <color theme="1"/>
        <rFont val="Calibri"/>
        <family val="2"/>
      </rPr>
      <t>4</t>
    </r>
    <r>
      <rPr>
        <sz val="11"/>
        <color theme="1"/>
        <rFont val="Noto Sans CJK SC"/>
      </rPr>
      <t xml:space="preserve">개 지표의 가중치 합 </t>
    </r>
    <r>
      <rPr>
        <sz val="11"/>
        <color theme="1"/>
        <rFont val="Calibri"/>
        <family val="2"/>
      </rPr>
      <t>= 1.0</t>
    </r>
  </si>
  <si>
    <r>
      <rPr>
        <sz val="11"/>
        <color theme="1"/>
        <rFont val="Calibri"/>
        <family val="2"/>
      </rPr>
      <t xml:space="preserve">• BIM </t>
    </r>
    <r>
      <rPr>
        <sz val="11"/>
        <color theme="1"/>
        <rFont val="Noto Sans CJK SC"/>
      </rPr>
      <t>탐지율</t>
    </r>
    <r>
      <rPr>
        <sz val="11"/>
        <color theme="1"/>
        <rFont val="Calibri"/>
        <family val="2"/>
      </rPr>
      <t>(%) = WD×</t>
    </r>
    <r>
      <rPr>
        <sz val="11"/>
        <color theme="1"/>
        <rFont val="Noto Sans CJK SC"/>
      </rPr>
      <t>실제</t>
    </r>
    <r>
      <rPr>
        <sz val="11"/>
        <color theme="1"/>
        <rFont val="Calibri"/>
        <family val="2"/>
      </rPr>
      <t>WD</t>
    </r>
    <r>
      <rPr>
        <sz val="11"/>
        <color theme="1"/>
        <rFont val="Noto Sans CJK SC"/>
      </rPr>
      <t xml:space="preserve">값 </t>
    </r>
    <r>
      <rPr>
        <sz val="11"/>
        <color theme="1"/>
        <rFont val="Calibri"/>
        <family val="2"/>
      </rPr>
      <t>+ CD×</t>
    </r>
    <r>
      <rPr>
        <sz val="11"/>
        <color theme="1"/>
        <rFont val="Noto Sans CJK SC"/>
      </rPr>
      <t>실제</t>
    </r>
    <r>
      <rPr>
        <sz val="11"/>
        <color theme="1"/>
        <rFont val="Calibri"/>
        <family val="2"/>
      </rPr>
      <t>CD</t>
    </r>
    <r>
      <rPr>
        <sz val="11"/>
        <color theme="1"/>
        <rFont val="Noto Sans CJK SC"/>
      </rPr>
      <t xml:space="preserve">값 </t>
    </r>
    <r>
      <rPr>
        <sz val="11"/>
        <color theme="1"/>
        <rFont val="Calibri"/>
        <family val="2"/>
      </rPr>
      <t>+ AF×</t>
    </r>
    <r>
      <rPr>
        <sz val="11"/>
        <color theme="1"/>
        <rFont val="Noto Sans CJK SC"/>
      </rPr>
      <t>실제</t>
    </r>
    <r>
      <rPr>
        <sz val="11"/>
        <color theme="1"/>
        <rFont val="Calibri"/>
        <family val="2"/>
      </rPr>
      <t>AF</t>
    </r>
    <r>
      <rPr>
        <sz val="11"/>
        <color theme="1"/>
        <rFont val="Noto Sans CJK SC"/>
      </rPr>
      <t xml:space="preserve">값 </t>
    </r>
    <r>
      <rPr>
        <sz val="11"/>
        <color theme="1"/>
        <rFont val="Calibri"/>
        <family val="2"/>
      </rPr>
      <t>+ PL×</t>
    </r>
    <r>
      <rPr>
        <sz val="11"/>
        <color theme="1"/>
        <rFont val="Noto Sans CJK SC"/>
      </rPr>
      <t>실제</t>
    </r>
    <r>
      <rPr>
        <sz val="11"/>
        <color theme="1"/>
        <rFont val="Calibri"/>
        <family val="2"/>
      </rPr>
      <t>PL</t>
    </r>
    <r>
      <rPr>
        <sz val="11"/>
        <color theme="1"/>
        <rFont val="Noto Sans CJK SC"/>
      </rPr>
      <t>값</t>
    </r>
  </si>
  <si>
    <r>
      <rPr>
        <sz val="11"/>
        <color theme="1"/>
        <rFont val="Noto Sans CJK SC"/>
      </rPr>
      <t xml:space="preserve">• 가중치가 </t>
    </r>
    <r>
      <rPr>
        <sz val="11"/>
        <color theme="1"/>
        <rFont val="Calibri"/>
        <family val="2"/>
      </rPr>
      <t>0.0</t>
    </r>
    <r>
      <rPr>
        <sz val="11"/>
        <color theme="1"/>
        <rFont val="Noto Sans CJK SC"/>
      </rPr>
      <t xml:space="preserve">인 경우 </t>
    </r>
    <r>
      <rPr>
        <sz val="11"/>
        <color theme="1"/>
        <rFont val="Calibri"/>
        <family val="2"/>
      </rPr>
      <t>= BIM</t>
    </r>
    <r>
      <rPr>
        <sz val="11"/>
        <color theme="1"/>
        <rFont val="Noto Sans CJK SC"/>
      </rPr>
      <t xml:space="preserve">으로 탐지 불가능한 외부 요인 </t>
    </r>
    <r>
      <rPr>
        <sz val="11"/>
        <color theme="1"/>
        <rFont val="Calibri"/>
        <family val="2"/>
      </rPr>
      <t>(</t>
    </r>
    <r>
      <rPr>
        <sz val="11"/>
        <color theme="1"/>
        <rFont val="Noto Sans CJK SC"/>
      </rPr>
      <t>날씨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Noto Sans CJK SC"/>
      </rPr>
      <t>인력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Noto Sans CJK SC"/>
      </rPr>
      <t>금융 등</t>
    </r>
    <r>
      <rPr>
        <sz val="11"/>
        <color theme="1"/>
        <rFont val="Calibri"/>
        <family val="2"/>
      </rPr>
      <t>)</t>
    </r>
  </si>
  <si>
    <r>
      <rPr>
        <b/>
        <sz val="13"/>
        <color theme="1"/>
        <rFont val="Cambria"/>
        <family val="1"/>
      </rPr>
      <t xml:space="preserve">전통방식 </t>
    </r>
    <r>
      <rPr>
        <b/>
        <sz val="13"/>
        <color theme="1"/>
        <rFont val="Arial"/>
        <family val="2"/>
      </rPr>
      <t>품질 지표 가중치 설명</t>
    </r>
  </si>
  <si>
    <r>
      <rPr>
        <b/>
        <sz val="11"/>
        <color theme="1"/>
        <rFont val="Cambria"/>
        <family val="1"/>
      </rPr>
      <t>RR (</t>
    </r>
    <r>
      <rPr>
        <b/>
        <sz val="11"/>
        <color theme="1"/>
        <rFont val="Arial"/>
        <family val="2"/>
      </rPr>
      <t>재시공률</t>
    </r>
    <r>
      <rPr>
        <b/>
        <sz val="11"/>
        <color theme="1"/>
        <rFont val="Cambria"/>
        <family val="1"/>
      </rPr>
      <t>) - Rework Ratio</t>
    </r>
  </si>
  <si>
    <t>재시공이 필요한 작업이 전체 시공에서 차지하는 비율</t>
  </si>
  <si>
    <t>I-20 (구조·설비 개구부 계획 누락), I-40 (동절기 콘크리트 양생 불량), I-64 (콘크리트 품질 불량)</t>
  </si>
  <si>
    <r>
      <rPr>
        <b/>
        <sz val="11"/>
        <color theme="1"/>
        <rFont val="Cambria"/>
        <family val="1"/>
      </rPr>
      <t>SR (</t>
    </r>
    <r>
      <rPr>
        <b/>
        <sz val="11"/>
        <color theme="1"/>
        <rFont val="Arial"/>
        <family val="2"/>
      </rPr>
      <t>안전사고 발생률</t>
    </r>
    <r>
      <rPr>
        <b/>
        <sz val="11"/>
        <color theme="1"/>
        <rFont val="Cambria"/>
        <family val="1"/>
      </rPr>
      <t>) - Safety Risk Occurrence Rate</t>
    </r>
  </si>
  <si>
    <t>현장에서 발생한 안전사고의 빈도에 대한 비율</t>
  </si>
  <si>
    <t>I-50 (거푸집·동바리 붕괴 위험 요소), I-63 (안전관리 서류 미흡), I-65 (고소작업 안전 미확보)</t>
  </si>
  <si>
    <r>
      <rPr>
        <b/>
        <sz val="11"/>
        <color theme="1"/>
        <rFont val="Cambria"/>
        <family val="1"/>
      </rPr>
      <t>CR (</t>
    </r>
    <r>
      <rPr>
        <b/>
        <sz val="11"/>
        <color theme="1"/>
        <rFont val="Arial"/>
        <family val="2"/>
      </rPr>
      <t>공정 지연률</t>
    </r>
    <r>
      <rPr>
        <b/>
        <sz val="11"/>
        <color theme="1"/>
        <rFont val="Cambria"/>
        <family val="1"/>
      </rPr>
      <t>) - Construction Delay Ratio</t>
    </r>
  </si>
  <si>
    <t>계획 대비 공정이 얼마나 지연되었지에 대한 비율</t>
  </si>
  <si>
    <t>I-02 (예산 승인 지연), I-04 (부지 소유권·지적 문제), I-17 (감리·전문가 검토 지연)</t>
  </si>
  <si>
    <t>FC (설계 변경 빈도) - Frequency of Change Order</t>
  </si>
  <si>
    <t>설계 변경이 발생한 정도를 나타내는 지표</t>
  </si>
  <si>
    <t>I-03 (도시계획 변경 가능성 미반영), I-15 (사업비 산정 오류), I-28 (발주자 설계 변경)</t>
  </si>
  <si>
    <r>
      <rPr>
        <sz val="11"/>
        <color theme="1"/>
        <rFont val="Noto Sans CJK SC"/>
      </rPr>
      <t xml:space="preserve">• 각 이슈마다 </t>
    </r>
    <r>
      <rPr>
        <sz val="11"/>
        <color theme="1"/>
        <rFont val="Calibri"/>
        <family val="2"/>
      </rPr>
      <t>4</t>
    </r>
    <r>
      <rPr>
        <sz val="11"/>
        <color theme="1"/>
        <rFont val="Noto Sans CJK SC"/>
      </rPr>
      <t xml:space="preserve">개 지표의 가중치 합 </t>
    </r>
    <r>
      <rPr>
        <sz val="11"/>
        <color theme="1"/>
        <rFont val="Calibri"/>
        <family val="2"/>
      </rPr>
      <t>= 1.0</t>
    </r>
  </si>
  <si>
    <r>
      <rPr>
        <sz val="11"/>
        <color theme="1"/>
        <rFont val="Calibri"/>
        <family val="2"/>
      </rPr>
      <t xml:space="preserve">• BIM </t>
    </r>
    <r>
      <rPr>
        <sz val="11"/>
        <color theme="1"/>
        <rFont val="Arial"/>
        <family val="2"/>
      </rPr>
      <t>탐지율</t>
    </r>
    <r>
      <rPr>
        <sz val="11"/>
        <color theme="1"/>
        <rFont val="Calibri"/>
        <family val="2"/>
      </rPr>
      <t>(%) = RR×</t>
    </r>
    <r>
      <rPr>
        <sz val="11"/>
        <color theme="1"/>
        <rFont val="Arial"/>
        <family val="2"/>
      </rPr>
      <t>실제</t>
    </r>
    <r>
      <rPr>
        <sz val="11"/>
        <color theme="1"/>
        <rFont val="Calibri"/>
        <family val="2"/>
      </rPr>
      <t>RR</t>
    </r>
    <r>
      <rPr>
        <sz val="11"/>
        <color theme="1"/>
        <rFont val="Arial"/>
        <family val="2"/>
      </rPr>
      <t xml:space="preserve">값 </t>
    </r>
    <r>
      <rPr>
        <sz val="11"/>
        <color theme="1"/>
        <rFont val="Calibri"/>
        <family val="2"/>
      </rPr>
      <t>+ SR×</t>
    </r>
    <r>
      <rPr>
        <sz val="11"/>
        <color theme="1"/>
        <rFont val="Arial"/>
        <family val="2"/>
      </rPr>
      <t>실제</t>
    </r>
    <r>
      <rPr>
        <sz val="11"/>
        <color theme="1"/>
        <rFont val="Calibri"/>
        <family val="2"/>
      </rPr>
      <t>SR</t>
    </r>
    <r>
      <rPr>
        <sz val="11"/>
        <color theme="1"/>
        <rFont val="Arial"/>
        <family val="2"/>
      </rPr>
      <t xml:space="preserve">값 </t>
    </r>
    <r>
      <rPr>
        <sz val="11"/>
        <color theme="1"/>
        <rFont val="Calibri"/>
        <family val="2"/>
      </rPr>
      <t>+ CD×</t>
    </r>
    <r>
      <rPr>
        <sz val="11"/>
        <color theme="1"/>
        <rFont val="Arial"/>
        <family val="2"/>
      </rPr>
      <t>실제</t>
    </r>
    <r>
      <rPr>
        <sz val="11"/>
        <color theme="1"/>
        <rFont val="Calibri"/>
        <family val="2"/>
      </rPr>
      <t>CD</t>
    </r>
    <r>
      <rPr>
        <sz val="11"/>
        <color theme="1"/>
        <rFont val="Arial"/>
        <family val="2"/>
      </rPr>
      <t xml:space="preserve">값 </t>
    </r>
    <r>
      <rPr>
        <sz val="11"/>
        <color theme="1"/>
        <rFont val="Calibri"/>
        <family val="2"/>
      </rPr>
      <t>+ FC×</t>
    </r>
    <r>
      <rPr>
        <sz val="11"/>
        <color theme="1"/>
        <rFont val="Arial"/>
        <family val="2"/>
      </rPr>
      <t>실제</t>
    </r>
    <r>
      <rPr>
        <sz val="11"/>
        <color theme="1"/>
        <rFont val="Calibri"/>
        <family val="2"/>
      </rPr>
      <t>FC</t>
    </r>
    <r>
      <rPr>
        <sz val="11"/>
        <color theme="1"/>
        <rFont val="Arial"/>
        <family val="2"/>
      </rPr>
      <t>값</t>
    </r>
  </si>
  <si>
    <r>
      <rPr>
        <sz val="11"/>
        <color theme="1"/>
        <rFont val="Arial"/>
        <family val="2"/>
      </rPr>
      <t xml:space="preserve">• </t>
    </r>
    <r>
      <rPr>
        <sz val="11"/>
        <color theme="1"/>
        <rFont val="Noto Sans"/>
        <family val="3"/>
        <charset val="129"/>
      </rPr>
      <t>가중치가 0.0인 경우 = 해당 이슈가 그 지표에 직접적인 영향을 거의 주지 않음</t>
    </r>
  </si>
  <si>
    <r>
      <rPr>
        <sz val="11"/>
        <color theme="1"/>
        <rFont val="Arial"/>
        <family val="2"/>
      </rPr>
      <t xml:space="preserve">• </t>
    </r>
    <r>
      <rPr>
        <sz val="11"/>
        <color theme="1"/>
        <rFont val="Noto Sans"/>
        <family val="3"/>
        <charset val="129"/>
      </rPr>
      <t>가중치는 이슈의 성격과 발생 단계, 공정·품질·안전·설계 변경 등에 미치는 영향을 기준으로 부여됨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</si>
</sst>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>
    <font>
      <sz val="10"/>
      <color rgb="FF000000"/>
      <name val="Arial"/>
      <scheme val="minor"/>
    </font>
    <font>
      <b/>
      <sz val="13"/>
      <color rgb="FF1F4E78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F4E78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Malgun Gothic"/>
      <family val="3"/>
      <charset val="129"/>
    </font>
    <font>
      <sz val="11"/>
      <color rgb="FF0A0A0A"/>
      <name val="&quot;Google Sans&quot;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FFFFFF"/>
      <name val="Roboto"/>
    </font>
    <font>
      <sz val="10"/>
      <color theme="1"/>
      <name val="Roboto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  <scheme val="minor"/>
    </font>
    <font>
      <sz val="10"/>
      <color rgb="FF444444"/>
      <name val="Gulim"/>
    </font>
    <font>
      <b/>
      <sz val="11"/>
      <color theme="1"/>
      <name val="Calibri"/>
      <family val="2"/>
    </font>
    <font>
      <b/>
      <sz val="13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1"/>
      <name val="Noto Sans"/>
      <family val="3"/>
      <charset val="129"/>
    </font>
    <font>
      <sz val="11"/>
      <color theme="1"/>
      <name val="Noto Sans"/>
      <family val="3"/>
      <charset val="129"/>
    </font>
    <font>
      <sz val="11"/>
      <color theme="1"/>
      <name val="Noto Sans CJK SC"/>
    </font>
    <font>
      <sz val="11"/>
      <color theme="1"/>
      <name val="Calibri"/>
      <family val="2"/>
    </font>
    <font>
      <b/>
      <sz val="13"/>
      <color theme="1"/>
      <name val="Noto Sans CJK SC"/>
    </font>
    <font>
      <b/>
      <sz val="11"/>
      <color theme="1"/>
      <name val="Noto Sans CJK SC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356854"/>
        <bgColor rgb="FF356854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2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6" fillId="5" borderId="0" xfId="0" applyFont="1" applyFill="1"/>
    <xf numFmtId="0" fontId="6" fillId="4" borderId="0" xfId="0" applyFont="1" applyFill="1"/>
    <xf numFmtId="0" fontId="9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176" fontId="7" fillId="0" borderId="0" xfId="0" applyNumberFormat="1" applyFont="1"/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vertical="center"/>
    </xf>
    <xf numFmtId="176" fontId="7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2" fillId="9" borderId="9" xfId="0" applyFont="1" applyFill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2" fontId="13" fillId="0" borderId="8" xfId="0" applyNumberFormat="1" applyFont="1" applyBorder="1" applyAlignment="1">
      <alignment vertical="center"/>
    </xf>
    <xf numFmtId="0" fontId="7" fillId="0" borderId="8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6" fillId="7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0" borderId="13" xfId="0" applyFont="1" applyBorder="1"/>
    <xf numFmtId="0" fontId="16" fillId="6" borderId="0" xfId="0" applyFont="1" applyFill="1" applyAlignment="1">
      <alignment vertical="top"/>
    </xf>
    <xf numFmtId="0" fontId="16" fillId="6" borderId="0" xfId="0" applyFont="1" applyFill="1"/>
    <xf numFmtId="0" fontId="6" fillId="10" borderId="8" xfId="0" applyFont="1" applyFill="1" applyBorder="1" applyAlignment="1">
      <alignment horizontal="center" vertical="center"/>
    </xf>
    <xf numFmtId="0" fontId="20" fillId="0" borderId="8" xfId="0" applyFont="1" applyBorder="1"/>
    <xf numFmtId="0" fontId="21" fillId="0" borderId="8" xfId="0" applyFont="1" applyBorder="1"/>
    <xf numFmtId="0" fontId="6" fillId="0" borderId="8" xfId="0" applyFont="1" applyBorder="1"/>
    <xf numFmtId="0" fontId="0" fillId="0" borderId="0" xfId="0"/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4" fillId="4" borderId="2" xfId="0" applyFont="1" applyFill="1" applyBorder="1"/>
    <xf numFmtId="0" fontId="6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6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1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5" fillId="0" borderId="20" xfId="0" applyFont="1" applyBorder="1"/>
    <xf numFmtId="0" fontId="19" fillId="11" borderId="2" xfId="0" applyFont="1" applyFill="1" applyBorder="1"/>
    <xf numFmtId="0" fontId="6" fillId="0" borderId="13" xfId="0" applyFont="1" applyBorder="1"/>
    <xf numFmtId="0" fontId="20" fillId="0" borderId="0" xfId="0" applyFont="1"/>
    <xf numFmtId="0" fontId="2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8" fillId="0" borderId="0" xfId="0" applyFont="1"/>
  </cellXfs>
  <cellStyles count="1">
    <cellStyle name="표준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이슈 카드 (27개)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이슈 카드_BIM 사용 (90개)_유영민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이슈 카드_BIM 미사용 (90개)_유영민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</xdr:colOff>
      <xdr:row>8</xdr:row>
      <xdr:rowOff>266700</xdr:rowOff>
    </xdr:from>
    <xdr:ext cx="7791450" cy="20574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36</xdr:row>
      <xdr:rowOff>180975</xdr:rowOff>
    </xdr:from>
    <xdr:ext cx="4876800" cy="59245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1_2" displayName="표1_2" ref="A1:Z910">
  <tableColumns count="26">
    <tableColumn id="1" xr3:uid="{00000000-0010-0000-0100-000001000000}" name="ID"/>
    <tableColumn id="2" xr3:uid="{00000000-0010-0000-0100-000002000000}" name="이슈명"/>
    <tableColumn id="3" xr3:uid="{00000000-0010-0000-0100-000003000000}" name="카테고리"/>
    <tableColumn id="4" xr3:uid="{00000000-0010-0000-0100-000004000000}" name="심각도"/>
    <tableColumn id="5" xr3:uid="{00000000-0010-0000-0100-000005000000}" name="발생단계"/>
    <tableColumn id="6" xr3:uid="{00000000-0010-0000-0100-000006000000}" name="지연(주)_x000a_Min"/>
    <tableColumn id="7" xr3:uid="{00000000-0010-0000-0100-000007000000}" name="지연(주)_x000a_Max"/>
    <tableColumn id="8" xr3:uid="{00000000-0010-0000-0100-000008000000}" name="비용증가(%)_x000a_Min"/>
    <tableColumn id="9" xr3:uid="{00000000-0010-0000-0100-000009000000}" name="비용증가(%)_x000a_Max"/>
    <tableColumn id="10" xr3:uid="{00000000-0010-0000-0100-00000A000000}" name="상세설명"/>
    <tableColumn id="11" xr3:uid="{00000000-0010-0000-0100-00000B000000}" name="이슈탐지율_x000a_(%)"/>
    <tableColumn id="12" xr3:uid="{00000000-0010-0000-0100-00000C000000}" name="WD_x000a_가중치"/>
    <tableColumn id="13" xr3:uid="{00000000-0010-0000-0100-00000D000000}" name="CD_x000a_가중치"/>
    <tableColumn id="14" xr3:uid="{00000000-0010-0000-0100-00000E000000}" name="AF_x000a_가중치"/>
    <tableColumn id="15" xr3:uid="{00000000-0010-0000-0100-00000F000000}" name="PL_x000a_가중치"/>
    <tableColumn id="16" xr3:uid="{00000000-0010-0000-0100-000010000000}" name="발생확률_x000a_(%)"/>
    <tableColumn id="17" xr3:uid="{00000000-0010-0000-0100-000011000000}" name="공정률"/>
    <tableColumn id="18" xr3:uid="{00000000-0010-0000-0100-000012000000}" name="보상"/>
    <tableColumn id="19" xr3:uid="{00000000-0010-0000-0100-000013000000}" name="페널티"/>
    <tableColumn id="20" xr3:uid="{00000000-0010-0000-0100-000014000000}" name="4열"/>
    <tableColumn id="21" xr3:uid="{00000000-0010-0000-0100-000015000000}" name="5열"/>
    <tableColumn id="22" xr3:uid="{00000000-0010-0000-0100-000016000000}" name="6열"/>
    <tableColumn id="23" xr3:uid="{00000000-0010-0000-0100-000017000000}" name="7열"/>
    <tableColumn id="24" xr3:uid="{00000000-0010-0000-0100-000018000000}" name="8열"/>
    <tableColumn id="25" xr3:uid="{00000000-0010-0000-0100-000019000000}" name="9열"/>
    <tableColumn id="26" xr3:uid="{00000000-0010-0000-0100-00001A000000}" name="10열"/>
  </tableColumns>
  <tableStyleInfo name="이슈 카드_BIM 사용 (90개)_유영민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1_3" displayName="표1_3" ref="A1:Z910">
  <tableColumns count="26">
    <tableColumn id="1" xr3:uid="{00000000-0010-0000-0200-000001000000}" name="ID"/>
    <tableColumn id="2" xr3:uid="{00000000-0010-0000-0200-000002000000}" name="이슈명"/>
    <tableColumn id="3" xr3:uid="{00000000-0010-0000-0200-000003000000}" name="카테고리"/>
    <tableColumn id="4" xr3:uid="{00000000-0010-0000-0200-000004000000}" name="심각도"/>
    <tableColumn id="5" xr3:uid="{00000000-0010-0000-0200-000005000000}" name="발생단계"/>
    <tableColumn id="6" xr3:uid="{00000000-0010-0000-0200-000006000000}" name="지연(주)_x000a_Min"/>
    <tableColumn id="7" xr3:uid="{00000000-0010-0000-0200-000007000000}" name="지연(주)_x000a_Max"/>
    <tableColumn id="8" xr3:uid="{00000000-0010-0000-0200-000008000000}" name="비용증가(%)_x000a_Min"/>
    <tableColumn id="9" xr3:uid="{00000000-0010-0000-0200-000009000000}" name="비용증가(%)_x000a_Max"/>
    <tableColumn id="10" xr3:uid="{00000000-0010-0000-0200-00000A000000}" name="상세설명"/>
    <tableColumn id="11" xr3:uid="{00000000-0010-0000-0200-00000B000000}" name="이슈탐지율_x000a_(%)"/>
    <tableColumn id="12" xr3:uid="{00000000-0010-0000-0200-00000C000000}" name="RR_x000a_가중치"/>
    <tableColumn id="13" xr3:uid="{00000000-0010-0000-0200-00000D000000}" name="SR_x000a_가중치"/>
    <tableColumn id="14" xr3:uid="{00000000-0010-0000-0200-00000E000000}" name="CR_x000a_가중치"/>
    <tableColumn id="15" xr3:uid="{00000000-0010-0000-0200-00000F000000}" name="FC_x000a_가중치"/>
    <tableColumn id="16" xr3:uid="{00000000-0010-0000-0200-000010000000}" name="발생확률_x000a_(%)"/>
    <tableColumn id="17" xr3:uid="{00000000-0010-0000-0200-000011000000}" name="공정률"/>
    <tableColumn id="18" xr3:uid="{00000000-0010-0000-0200-000012000000}" name="보상"/>
    <tableColumn id="19" xr3:uid="{00000000-0010-0000-0200-000013000000}" name="페널티"/>
    <tableColumn id="20" xr3:uid="{00000000-0010-0000-0200-000014000000}" name="4열"/>
    <tableColumn id="21" xr3:uid="{00000000-0010-0000-0200-000015000000}" name="5열"/>
    <tableColumn id="22" xr3:uid="{00000000-0010-0000-0200-000016000000}" name="6열"/>
    <tableColumn id="23" xr3:uid="{00000000-0010-0000-0200-000017000000}" name="7열"/>
    <tableColumn id="24" xr3:uid="{00000000-0010-0000-0200-000018000000}" name="8열"/>
    <tableColumn id="25" xr3:uid="{00000000-0010-0000-0200-000019000000}" name="9열"/>
    <tableColumn id="26" xr3:uid="{00000000-0010-0000-0200-00001A000000}" name="10열"/>
  </tableColumns>
  <tableStyleInfo name="이슈 카드_BIM 미사용 (90개)_유영민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16"/>
  <sheetViews>
    <sheetView workbookViewId="0"/>
  </sheetViews>
  <sheetFormatPr defaultColWidth="12.5703125" defaultRowHeight="15.75" customHeight="1"/>
  <cols>
    <col min="1" max="1" width="10.140625" customWidth="1"/>
    <col min="2" max="2" width="15.7109375" customWidth="1"/>
    <col min="3" max="3" width="15" customWidth="1"/>
    <col min="4" max="4" width="24.85546875" customWidth="1"/>
    <col min="5" max="5" width="53.28515625" customWidth="1"/>
    <col min="6" max="6" width="43.5703125" customWidth="1"/>
    <col min="7" max="7" width="53.85546875" customWidth="1"/>
    <col min="8" max="11" width="8.28515625" customWidth="1"/>
    <col min="13" max="13" width="3" customWidth="1"/>
    <col min="22" max="22" width="15.7109375" customWidth="1"/>
    <col min="23" max="23" width="14.28515625" customWidth="1"/>
    <col min="24" max="24" width="20.85546875" customWidth="1"/>
    <col min="25" max="25" width="19.42578125" customWidth="1"/>
  </cols>
  <sheetData>
    <row r="1" spans="1:25" ht="19.5">
      <c r="A1" s="3"/>
      <c r="B1" s="48" t="s">
        <v>0</v>
      </c>
      <c r="C1" s="45"/>
      <c r="D1" s="45"/>
      <c r="E1" s="45"/>
      <c r="F1" s="45"/>
      <c r="G1" s="45"/>
    </row>
    <row r="2" spans="1:25" ht="15">
      <c r="A2" s="4"/>
      <c r="B2" s="4"/>
      <c r="C2" s="4"/>
      <c r="D2" s="4"/>
      <c r="E2" s="4"/>
      <c r="F2" s="4"/>
      <c r="G2" s="4"/>
    </row>
    <row r="3" spans="1:25" ht="15">
      <c r="A3" s="4" t="s">
        <v>29</v>
      </c>
      <c r="B3" s="4"/>
      <c r="C3" s="4"/>
      <c r="D3" s="4"/>
      <c r="E3" s="4"/>
      <c r="F3" s="4"/>
      <c r="G3" s="4"/>
    </row>
    <row r="4" spans="1:25" ht="16.5">
      <c r="A4" s="5" t="s">
        <v>30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31</v>
      </c>
      <c r="I4" s="1" t="s">
        <v>32</v>
      </c>
      <c r="J4" s="1" t="s">
        <v>33</v>
      </c>
      <c r="K4" s="1" t="s">
        <v>34</v>
      </c>
      <c r="M4" s="4" t="s">
        <v>35</v>
      </c>
      <c r="W4" s="6" t="s">
        <v>36</v>
      </c>
    </row>
    <row r="5" spans="1:25" ht="67.5" customHeight="1">
      <c r="A5" s="49" t="s">
        <v>37</v>
      </c>
      <c r="B5" s="2" t="s">
        <v>7</v>
      </c>
      <c r="C5" s="7" t="s">
        <v>8</v>
      </c>
      <c r="D5" s="7" t="s">
        <v>9</v>
      </c>
      <c r="E5" s="8" t="s">
        <v>10</v>
      </c>
      <c r="F5" s="8" t="s">
        <v>38</v>
      </c>
      <c r="G5" s="8" t="s">
        <v>11</v>
      </c>
      <c r="H5" s="9">
        <f>W5*U5</f>
        <v>0.495</v>
      </c>
      <c r="I5" s="7">
        <f>W5*U6</f>
        <v>0.33</v>
      </c>
      <c r="J5" s="9">
        <f>W5*U7</f>
        <v>0.22499999999999998</v>
      </c>
      <c r="K5" s="7">
        <f>W5*U8</f>
        <v>0.15000000000000002</v>
      </c>
      <c r="M5" s="10" t="s">
        <v>31</v>
      </c>
      <c r="N5" s="4" t="s">
        <v>39</v>
      </c>
      <c r="U5" s="6">
        <v>0.33</v>
      </c>
      <c r="W5" s="6">
        <v>1.5</v>
      </c>
      <c r="X5" s="6" t="s">
        <v>40</v>
      </c>
      <c r="Y5" s="6" t="s">
        <v>41</v>
      </c>
    </row>
    <row r="6" spans="1:25" ht="67.5" customHeight="1">
      <c r="A6" s="45"/>
      <c r="B6" s="2" t="s">
        <v>12</v>
      </c>
      <c r="C6" s="7" t="s">
        <v>13</v>
      </c>
      <c r="D6" s="7" t="s">
        <v>14</v>
      </c>
      <c r="E6" s="8" t="s">
        <v>15</v>
      </c>
      <c r="F6" s="8" t="s">
        <v>42</v>
      </c>
      <c r="G6" s="8" t="s">
        <v>16</v>
      </c>
      <c r="H6" s="9">
        <f>W6*U5</f>
        <v>0.16500000000000001</v>
      </c>
      <c r="I6" s="7">
        <f>W6*U6</f>
        <v>0.11</v>
      </c>
      <c r="J6" s="9">
        <f>W6*U7</f>
        <v>7.4999999999999997E-2</v>
      </c>
      <c r="K6" s="7">
        <f>W6*U8</f>
        <v>0.05</v>
      </c>
      <c r="M6" s="11" t="s">
        <v>32</v>
      </c>
      <c r="N6" s="12" t="s">
        <v>43</v>
      </c>
      <c r="U6" s="6">
        <v>0.22</v>
      </c>
      <c r="W6" s="6">
        <v>0.5</v>
      </c>
      <c r="X6" s="6" t="s">
        <v>44</v>
      </c>
      <c r="Y6" s="6" t="s">
        <v>41</v>
      </c>
    </row>
    <row r="7" spans="1:25" ht="67.5" customHeight="1">
      <c r="A7" s="45"/>
      <c r="B7" s="2" t="s">
        <v>17</v>
      </c>
      <c r="C7" s="7" t="s">
        <v>18</v>
      </c>
      <c r="D7" s="7" t="s">
        <v>19</v>
      </c>
      <c r="E7" s="8" t="s">
        <v>20</v>
      </c>
      <c r="F7" s="8" t="s">
        <v>21</v>
      </c>
      <c r="G7" s="8" t="s">
        <v>45</v>
      </c>
      <c r="H7" s="9">
        <f>W7*U5</f>
        <v>24.75</v>
      </c>
      <c r="I7" s="9">
        <f>W7*U6</f>
        <v>16.5</v>
      </c>
      <c r="J7" s="9">
        <f>W7*U7</f>
        <v>11.25</v>
      </c>
      <c r="K7" s="9">
        <f>W7*U8</f>
        <v>7.5</v>
      </c>
      <c r="M7" s="13" t="s">
        <v>33</v>
      </c>
      <c r="N7" s="12" t="s">
        <v>46</v>
      </c>
      <c r="U7" s="6">
        <v>0.15</v>
      </c>
      <c r="W7" s="6">
        <v>75</v>
      </c>
      <c r="X7" s="6" t="s">
        <v>47</v>
      </c>
      <c r="Y7" s="6" t="s">
        <v>48</v>
      </c>
    </row>
    <row r="8" spans="1:25" ht="67.5" customHeight="1">
      <c r="A8" s="45"/>
      <c r="B8" s="2" t="s">
        <v>22</v>
      </c>
      <c r="C8" s="7" t="s">
        <v>23</v>
      </c>
      <c r="D8" s="7" t="s">
        <v>24</v>
      </c>
      <c r="E8" s="8" t="s">
        <v>25</v>
      </c>
      <c r="F8" s="8" t="s">
        <v>26</v>
      </c>
      <c r="G8" s="8" t="s">
        <v>49</v>
      </c>
      <c r="H8" s="9">
        <f>W8*U5</f>
        <v>13.200000000000001</v>
      </c>
      <c r="I8" s="9">
        <f>W8*U6</f>
        <v>8.8000000000000007</v>
      </c>
      <c r="J8" s="7">
        <f>W8*U7</f>
        <v>6</v>
      </c>
      <c r="K8" s="7">
        <f>W8*U8</f>
        <v>4</v>
      </c>
      <c r="M8" s="14" t="s">
        <v>34</v>
      </c>
      <c r="N8" s="12" t="s">
        <v>50</v>
      </c>
      <c r="U8" s="6">
        <v>0.1</v>
      </c>
      <c r="W8" s="6">
        <v>40</v>
      </c>
      <c r="X8" s="6" t="s">
        <v>51</v>
      </c>
      <c r="Y8" s="6" t="s">
        <v>52</v>
      </c>
    </row>
    <row r="9" spans="1:25" ht="67.5" customHeight="1">
      <c r="A9" s="49" t="s">
        <v>53</v>
      </c>
      <c r="B9" s="2" t="s">
        <v>54</v>
      </c>
      <c r="C9" s="15" t="s">
        <v>55</v>
      </c>
      <c r="D9" s="15" t="s">
        <v>56</v>
      </c>
      <c r="E9" s="8" t="s">
        <v>57</v>
      </c>
      <c r="F9" s="16" t="s">
        <v>58</v>
      </c>
      <c r="G9" s="16" t="s">
        <v>59</v>
      </c>
      <c r="H9" s="9">
        <f>W9*U5</f>
        <v>0.19800000000000001</v>
      </c>
      <c r="I9" s="9">
        <f>W9*U6</f>
        <v>0.13200000000000001</v>
      </c>
      <c r="J9" s="9">
        <f>W9*U7</f>
        <v>0.09</v>
      </c>
      <c r="K9" s="9">
        <f>W9*U8</f>
        <v>0.06</v>
      </c>
      <c r="W9" s="6">
        <v>0.6</v>
      </c>
      <c r="X9" s="6" t="s">
        <v>60</v>
      </c>
      <c r="Y9" s="6" t="s">
        <v>61</v>
      </c>
    </row>
    <row r="10" spans="1:25" ht="67.5" customHeight="1">
      <c r="A10" s="45"/>
      <c r="B10" s="2" t="s">
        <v>62</v>
      </c>
      <c r="C10" s="15" t="s">
        <v>63</v>
      </c>
      <c r="D10" s="15" t="s">
        <v>64</v>
      </c>
      <c r="E10" s="8" t="s">
        <v>65</v>
      </c>
      <c r="F10" s="16" t="s">
        <v>66</v>
      </c>
      <c r="G10" s="16" t="s">
        <v>67</v>
      </c>
      <c r="H10" s="9">
        <f>W10*U5</f>
        <v>0.54449999999999998</v>
      </c>
      <c r="I10" s="9">
        <f>W10*U6</f>
        <v>0.36299999999999999</v>
      </c>
      <c r="J10" s="9">
        <f>W10*U7</f>
        <v>0.24749999999999997</v>
      </c>
      <c r="K10" s="9">
        <f>W10*U8</f>
        <v>0.16500000000000001</v>
      </c>
      <c r="W10" s="6">
        <v>1.65</v>
      </c>
      <c r="X10" s="17" t="s">
        <v>68</v>
      </c>
      <c r="Y10" s="17" t="s">
        <v>69</v>
      </c>
    </row>
    <row r="11" spans="1:25" ht="67.5" customHeight="1">
      <c r="A11" s="45"/>
      <c r="B11" s="2" t="s">
        <v>70</v>
      </c>
      <c r="C11" s="15" t="s">
        <v>71</v>
      </c>
      <c r="D11" s="15" t="s">
        <v>72</v>
      </c>
      <c r="E11" s="8" t="s">
        <v>73</v>
      </c>
      <c r="F11" s="16" t="s">
        <v>74</v>
      </c>
      <c r="G11" s="16" t="s">
        <v>75</v>
      </c>
      <c r="H11" s="9">
        <f>W11*U5</f>
        <v>2.4750000000000001</v>
      </c>
      <c r="I11" s="9">
        <f>W11*U6</f>
        <v>1.65</v>
      </c>
      <c r="J11" s="9">
        <f>W11*U7</f>
        <v>1.125</v>
      </c>
      <c r="K11" s="9">
        <f>W11*U8</f>
        <v>0.75</v>
      </c>
      <c r="W11" s="6">
        <v>7.5</v>
      </c>
      <c r="X11" s="6" t="s">
        <v>76</v>
      </c>
      <c r="Y11" s="6" t="s">
        <v>77</v>
      </c>
    </row>
    <row r="12" spans="1:25" ht="67.5" customHeight="1">
      <c r="A12" s="45"/>
      <c r="B12" s="2" t="s">
        <v>78</v>
      </c>
      <c r="C12" s="18" t="s">
        <v>79</v>
      </c>
      <c r="D12" s="15" t="s">
        <v>80</v>
      </c>
      <c r="E12" s="8" t="s">
        <v>81</v>
      </c>
      <c r="F12" s="16" t="s">
        <v>82</v>
      </c>
      <c r="G12" s="16" t="s">
        <v>83</v>
      </c>
      <c r="H12" s="9">
        <f>W12*U5</f>
        <v>1.32</v>
      </c>
      <c r="I12" s="9">
        <f>W12*U6</f>
        <v>0.88</v>
      </c>
      <c r="J12" s="9">
        <f>W12*U7</f>
        <v>0.6</v>
      </c>
      <c r="K12" s="9">
        <f>W12*U8</f>
        <v>0.4</v>
      </c>
      <c r="N12" s="6" t="s">
        <v>84</v>
      </c>
      <c r="O12" s="6" t="s">
        <v>85</v>
      </c>
      <c r="W12" s="19">
        <v>4</v>
      </c>
      <c r="X12" s="6" t="s">
        <v>86</v>
      </c>
      <c r="Y12" s="6" t="s">
        <v>87</v>
      </c>
    </row>
    <row r="13" spans="1:25" ht="15">
      <c r="A13" s="4"/>
      <c r="B13" s="4"/>
      <c r="C13" s="4"/>
      <c r="D13" s="4"/>
      <c r="E13" s="4"/>
      <c r="F13" s="4"/>
      <c r="G13" s="4"/>
      <c r="N13" s="6" t="s">
        <v>88</v>
      </c>
      <c r="O13" s="6" t="s">
        <v>89</v>
      </c>
    </row>
    <row r="14" spans="1:25" ht="16.5">
      <c r="A14" s="50" t="s">
        <v>27</v>
      </c>
      <c r="B14" s="46"/>
      <c r="C14" s="46"/>
      <c r="D14" s="46"/>
      <c r="E14" s="46"/>
      <c r="F14" s="47"/>
      <c r="N14" s="6" t="s">
        <v>90</v>
      </c>
      <c r="O14" s="6" t="s">
        <v>91</v>
      </c>
    </row>
    <row r="15" spans="1:25" ht="73.5" customHeight="1">
      <c r="A15" s="51" t="s">
        <v>28</v>
      </c>
      <c r="B15" s="52"/>
      <c r="C15" s="52"/>
      <c r="D15" s="52"/>
      <c r="E15" s="52"/>
      <c r="F15" s="53"/>
      <c r="G15" s="4"/>
    </row>
    <row r="16" spans="1:25" ht="15">
      <c r="G16" s="4"/>
    </row>
  </sheetData>
  <mergeCells count="5">
    <mergeCell ref="B1:G1"/>
    <mergeCell ref="A5:A8"/>
    <mergeCell ref="A9:A12"/>
    <mergeCell ref="A14:F14"/>
    <mergeCell ref="A15:F15"/>
  </mergeCells>
  <phoneticPr fontId="29" type="noConversion"/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91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.42578125" customWidth="1"/>
    <col min="2" max="2" width="25.42578125" customWidth="1"/>
    <col min="3" max="3" width="9.42578125" customWidth="1"/>
    <col min="4" max="4" width="10.42578125" customWidth="1"/>
    <col min="5" max="5" width="9.42578125" customWidth="1"/>
    <col min="6" max="7" width="8.85546875" customWidth="1"/>
    <col min="8" max="8" width="12" customWidth="1"/>
    <col min="9" max="9" width="11.85546875" customWidth="1"/>
    <col min="10" max="10" width="69.7109375" customWidth="1"/>
    <col min="11" max="11" width="13.28515625" customWidth="1"/>
    <col min="12" max="15" width="10.7109375" customWidth="1"/>
    <col min="16" max="16" width="13" customWidth="1"/>
    <col min="17" max="17" width="10" customWidth="1"/>
    <col min="18" max="18" width="8.85546875" customWidth="1"/>
    <col min="19" max="19" width="10.42578125" customWidth="1"/>
    <col min="20" max="25" width="7" hidden="1" customWidth="1"/>
    <col min="26" max="26" width="8.28515625" hidden="1" customWidth="1"/>
  </cols>
  <sheetData>
    <row r="1" spans="1:26" ht="22.5" customHeight="1">
      <c r="A1" s="20" t="s">
        <v>92</v>
      </c>
      <c r="B1" s="20" t="s">
        <v>93</v>
      </c>
      <c r="C1" s="20" t="s">
        <v>94</v>
      </c>
      <c r="D1" s="20" t="s">
        <v>95</v>
      </c>
      <c r="E1" s="20" t="s">
        <v>96</v>
      </c>
      <c r="F1" s="20" t="s">
        <v>97</v>
      </c>
      <c r="G1" s="20" t="s">
        <v>98</v>
      </c>
      <c r="H1" s="20" t="s">
        <v>99</v>
      </c>
      <c r="I1" s="20" t="s">
        <v>100</v>
      </c>
      <c r="J1" s="20" t="s">
        <v>101</v>
      </c>
      <c r="K1" s="20" t="s">
        <v>188</v>
      </c>
      <c r="L1" s="20" t="s">
        <v>102</v>
      </c>
      <c r="M1" s="20" t="s">
        <v>103</v>
      </c>
      <c r="N1" s="20" t="s">
        <v>104</v>
      </c>
      <c r="O1" s="20" t="s">
        <v>105</v>
      </c>
      <c r="P1" s="20" t="s">
        <v>106</v>
      </c>
      <c r="Q1" s="24" t="s">
        <v>107</v>
      </c>
      <c r="R1" s="24" t="s">
        <v>108</v>
      </c>
      <c r="S1" s="24" t="s">
        <v>109</v>
      </c>
      <c r="T1" s="16" t="s">
        <v>110</v>
      </c>
      <c r="U1" s="16" t="s">
        <v>111</v>
      </c>
      <c r="V1" s="16" t="s">
        <v>112</v>
      </c>
      <c r="W1" s="16" t="s">
        <v>113</v>
      </c>
      <c r="X1" s="16" t="s">
        <v>114</v>
      </c>
      <c r="Y1" s="16" t="s">
        <v>115</v>
      </c>
      <c r="Z1" s="16" t="s">
        <v>116</v>
      </c>
    </row>
    <row r="2" spans="1:26" ht="22.5" customHeight="1">
      <c r="A2" s="25" t="s">
        <v>117</v>
      </c>
      <c r="B2" s="25" t="s">
        <v>165</v>
      </c>
      <c r="C2" s="25" t="s">
        <v>189</v>
      </c>
      <c r="D2" s="25" t="s">
        <v>122</v>
      </c>
      <c r="E2" s="25" t="s">
        <v>190</v>
      </c>
      <c r="F2" s="25">
        <v>2</v>
      </c>
      <c r="G2" s="25">
        <v>3</v>
      </c>
      <c r="H2" s="25">
        <v>0.6</v>
      </c>
      <c r="I2" s="22">
        <v>1</v>
      </c>
      <c r="J2" s="25" t="s">
        <v>191</v>
      </c>
      <c r="K2" s="25">
        <v>75</v>
      </c>
      <c r="L2" s="26">
        <v>0.4</v>
      </c>
      <c r="M2" s="26">
        <v>0.1</v>
      </c>
      <c r="N2" s="26">
        <v>0.1</v>
      </c>
      <c r="O2" s="26">
        <v>0.4</v>
      </c>
      <c r="P2" s="25">
        <v>0.6</v>
      </c>
      <c r="Q2" s="27" t="s">
        <v>192</v>
      </c>
      <c r="R2" s="21"/>
      <c r="S2" s="21"/>
      <c r="T2" s="23"/>
      <c r="U2" s="23"/>
      <c r="V2" s="23"/>
      <c r="W2" s="23"/>
      <c r="X2" s="23"/>
      <c r="Y2" s="23"/>
      <c r="Z2" s="23"/>
    </row>
    <row r="3" spans="1:26" ht="22.5" customHeight="1">
      <c r="A3" s="25" t="s">
        <v>121</v>
      </c>
      <c r="B3" s="25" t="s">
        <v>193</v>
      </c>
      <c r="C3" s="25" t="s">
        <v>189</v>
      </c>
      <c r="D3" s="25" t="s">
        <v>122</v>
      </c>
      <c r="E3" s="25" t="s">
        <v>190</v>
      </c>
      <c r="F3" s="25">
        <v>1</v>
      </c>
      <c r="G3" s="25">
        <v>3</v>
      </c>
      <c r="H3" s="25">
        <v>0.3</v>
      </c>
      <c r="I3" s="25">
        <v>0.8</v>
      </c>
      <c r="J3" s="25" t="s">
        <v>194</v>
      </c>
      <c r="K3" s="25">
        <v>0</v>
      </c>
      <c r="L3" s="26">
        <v>0.4</v>
      </c>
      <c r="M3" s="26">
        <v>0.2</v>
      </c>
      <c r="N3" s="26">
        <v>0</v>
      </c>
      <c r="O3" s="26">
        <v>0.4</v>
      </c>
      <c r="P3" s="25">
        <v>0.8</v>
      </c>
      <c r="Q3" s="27" t="s">
        <v>192</v>
      </c>
      <c r="R3" s="21"/>
      <c r="S3" s="21"/>
      <c r="T3" s="23"/>
      <c r="U3" s="23"/>
      <c r="V3" s="23"/>
      <c r="W3" s="23"/>
      <c r="X3" s="23"/>
      <c r="Y3" s="23"/>
      <c r="Z3" s="23"/>
    </row>
    <row r="4" spans="1:26" ht="22.5" customHeight="1">
      <c r="A4" s="25" t="s">
        <v>123</v>
      </c>
      <c r="B4" s="25" t="s">
        <v>195</v>
      </c>
      <c r="C4" s="25" t="s">
        <v>189</v>
      </c>
      <c r="D4" s="25" t="s">
        <v>119</v>
      </c>
      <c r="E4" s="25" t="s">
        <v>190</v>
      </c>
      <c r="F4" s="25">
        <v>1</v>
      </c>
      <c r="G4" s="25">
        <v>4</v>
      </c>
      <c r="H4" s="25">
        <v>0.5</v>
      </c>
      <c r="I4" s="25">
        <v>1.2</v>
      </c>
      <c r="J4" s="25" t="s">
        <v>196</v>
      </c>
      <c r="K4" s="25">
        <v>0</v>
      </c>
      <c r="L4" s="26">
        <v>0.22</v>
      </c>
      <c r="M4" s="26">
        <v>0.22</v>
      </c>
      <c r="N4" s="26">
        <v>0.11</v>
      </c>
      <c r="O4" s="26">
        <v>0.45</v>
      </c>
      <c r="P4" s="25">
        <v>0.7</v>
      </c>
      <c r="Q4" s="27" t="s">
        <v>192</v>
      </c>
      <c r="R4" s="21"/>
      <c r="S4" s="21"/>
      <c r="T4" s="23"/>
      <c r="U4" s="23"/>
      <c r="V4" s="23"/>
      <c r="W4" s="23"/>
      <c r="X4" s="23"/>
      <c r="Y4" s="23"/>
      <c r="Z4" s="23"/>
    </row>
    <row r="5" spans="1:26" ht="22.5" customHeight="1">
      <c r="A5" s="25" t="s">
        <v>125</v>
      </c>
      <c r="B5" s="25" t="s">
        <v>197</v>
      </c>
      <c r="C5" s="25" t="s">
        <v>189</v>
      </c>
      <c r="D5" s="25" t="s">
        <v>119</v>
      </c>
      <c r="E5" s="25" t="s">
        <v>190</v>
      </c>
      <c r="F5" s="25">
        <v>2</v>
      </c>
      <c r="G5" s="25">
        <v>6</v>
      </c>
      <c r="H5" s="25">
        <v>0.3</v>
      </c>
      <c r="I5" s="22">
        <v>1</v>
      </c>
      <c r="J5" s="25" t="s">
        <v>198</v>
      </c>
      <c r="K5" s="25">
        <v>0</v>
      </c>
      <c r="L5" s="26">
        <v>0.44</v>
      </c>
      <c r="M5" s="26">
        <v>0.11</v>
      </c>
      <c r="N5" s="26">
        <v>0</v>
      </c>
      <c r="O5" s="26">
        <v>0.44</v>
      </c>
      <c r="P5" s="25">
        <v>0.5</v>
      </c>
      <c r="Q5" s="27" t="s">
        <v>192</v>
      </c>
      <c r="R5" s="21"/>
      <c r="S5" s="21"/>
      <c r="T5" s="23"/>
      <c r="U5" s="23"/>
      <c r="V5" s="23"/>
      <c r="W5" s="23"/>
      <c r="X5" s="23"/>
      <c r="Y5" s="23"/>
      <c r="Z5" s="23"/>
    </row>
    <row r="6" spans="1:26" ht="22.5" customHeight="1">
      <c r="A6" s="25" t="s">
        <v>127</v>
      </c>
      <c r="B6" s="25" t="s">
        <v>199</v>
      </c>
      <c r="C6" s="25" t="s">
        <v>189</v>
      </c>
      <c r="D6" s="25" t="s">
        <v>122</v>
      </c>
      <c r="E6" s="25" t="s">
        <v>190</v>
      </c>
      <c r="F6" s="25">
        <v>0</v>
      </c>
      <c r="G6" s="25">
        <v>2</v>
      </c>
      <c r="H6" s="25">
        <v>0.2</v>
      </c>
      <c r="I6" s="25">
        <v>0.6</v>
      </c>
      <c r="J6" s="25" t="s">
        <v>200</v>
      </c>
      <c r="K6" s="25">
        <v>10</v>
      </c>
      <c r="L6" s="26">
        <v>0.33</v>
      </c>
      <c r="M6" s="26">
        <v>0</v>
      </c>
      <c r="N6" s="26">
        <v>0.67</v>
      </c>
      <c r="O6" s="26">
        <v>0</v>
      </c>
      <c r="P6" s="25">
        <v>1.1000000000000001</v>
      </c>
      <c r="Q6" s="27" t="s">
        <v>192</v>
      </c>
      <c r="R6" s="21"/>
      <c r="S6" s="21"/>
      <c r="T6" s="23"/>
      <c r="U6" s="23"/>
      <c r="V6" s="23"/>
      <c r="W6" s="23"/>
      <c r="X6" s="23"/>
      <c r="Y6" s="23"/>
      <c r="Z6" s="23"/>
    </row>
    <row r="7" spans="1:26" ht="22.5" customHeight="1">
      <c r="A7" s="25" t="s">
        <v>130</v>
      </c>
      <c r="B7" s="25" t="s">
        <v>201</v>
      </c>
      <c r="C7" s="25" t="s">
        <v>189</v>
      </c>
      <c r="D7" s="25" t="s">
        <v>122</v>
      </c>
      <c r="E7" s="25" t="s">
        <v>190</v>
      </c>
      <c r="F7" s="25">
        <v>1</v>
      </c>
      <c r="G7" s="25">
        <v>3</v>
      </c>
      <c r="H7" s="25">
        <v>0.3</v>
      </c>
      <c r="I7" s="25">
        <v>0.8</v>
      </c>
      <c r="J7" s="25" t="s">
        <v>202</v>
      </c>
      <c r="K7" s="25">
        <v>0</v>
      </c>
      <c r="L7" s="26">
        <v>0</v>
      </c>
      <c r="M7" s="26">
        <v>0</v>
      </c>
      <c r="N7" s="26">
        <v>1</v>
      </c>
      <c r="O7" s="26">
        <v>0</v>
      </c>
      <c r="P7" s="22">
        <v>1</v>
      </c>
      <c r="Q7" s="27" t="s">
        <v>192</v>
      </c>
      <c r="R7" s="28"/>
      <c r="S7" s="28"/>
      <c r="T7" s="23"/>
      <c r="U7" s="23"/>
      <c r="V7" s="23"/>
      <c r="W7" s="23"/>
      <c r="X7" s="23"/>
      <c r="Y7" s="23"/>
      <c r="Z7" s="23"/>
    </row>
    <row r="8" spans="1:26" ht="22.5" customHeight="1">
      <c r="A8" s="25" t="s">
        <v>131</v>
      </c>
      <c r="B8" s="25" t="s">
        <v>203</v>
      </c>
      <c r="C8" s="25" t="s">
        <v>189</v>
      </c>
      <c r="D8" s="25" t="s">
        <v>119</v>
      </c>
      <c r="E8" s="25" t="s">
        <v>190</v>
      </c>
      <c r="F8" s="25">
        <v>2</v>
      </c>
      <c r="G8" s="25">
        <v>6</v>
      </c>
      <c r="H8" s="25">
        <v>0.3</v>
      </c>
      <c r="I8" s="22">
        <v>1</v>
      </c>
      <c r="J8" s="25" t="s">
        <v>204</v>
      </c>
      <c r="K8" s="25">
        <v>0</v>
      </c>
      <c r="L8" s="26">
        <v>0</v>
      </c>
      <c r="M8" s="26">
        <v>0</v>
      </c>
      <c r="N8" s="26">
        <v>1</v>
      </c>
      <c r="O8" s="26">
        <v>0</v>
      </c>
      <c r="P8" s="25">
        <v>0.8</v>
      </c>
      <c r="Q8" s="27" t="s">
        <v>192</v>
      </c>
      <c r="R8" s="28"/>
      <c r="S8" s="28"/>
      <c r="T8" s="23"/>
      <c r="U8" s="23"/>
      <c r="V8" s="23"/>
      <c r="W8" s="23"/>
      <c r="X8" s="23"/>
      <c r="Y8" s="23"/>
      <c r="Z8" s="23"/>
    </row>
    <row r="9" spans="1:26" ht="22.5" customHeight="1">
      <c r="A9" s="25" t="s">
        <v>134</v>
      </c>
      <c r="B9" s="25" t="s">
        <v>205</v>
      </c>
      <c r="C9" s="25" t="s">
        <v>189</v>
      </c>
      <c r="D9" s="25" t="s">
        <v>119</v>
      </c>
      <c r="E9" s="25" t="s">
        <v>190</v>
      </c>
      <c r="F9" s="25">
        <v>2</v>
      </c>
      <c r="G9" s="25">
        <v>4</v>
      </c>
      <c r="H9" s="25">
        <v>0.2</v>
      </c>
      <c r="I9" s="25">
        <v>0.7</v>
      </c>
      <c r="J9" s="25" t="s">
        <v>206</v>
      </c>
      <c r="K9" s="25">
        <v>0</v>
      </c>
      <c r="L9" s="26">
        <v>0</v>
      </c>
      <c r="M9" s="26">
        <v>0</v>
      </c>
      <c r="N9" s="26">
        <v>1</v>
      </c>
      <c r="O9" s="26">
        <v>0</v>
      </c>
      <c r="P9" s="25">
        <v>0.9</v>
      </c>
      <c r="Q9" s="27" t="s">
        <v>192</v>
      </c>
      <c r="R9" s="28"/>
      <c r="S9" s="28"/>
      <c r="T9" s="23"/>
      <c r="U9" s="23"/>
      <c r="V9" s="23"/>
      <c r="W9" s="23"/>
      <c r="X9" s="23"/>
      <c r="Y9" s="23"/>
      <c r="Z9" s="23"/>
    </row>
    <row r="10" spans="1:26" ht="22.5" customHeight="1">
      <c r="A10" s="25" t="s">
        <v>136</v>
      </c>
      <c r="B10" s="25" t="s">
        <v>207</v>
      </c>
      <c r="C10" s="25" t="s">
        <v>189</v>
      </c>
      <c r="D10" s="25" t="s">
        <v>122</v>
      </c>
      <c r="E10" s="25" t="s">
        <v>190</v>
      </c>
      <c r="F10" s="25">
        <v>1</v>
      </c>
      <c r="G10" s="25">
        <v>3</v>
      </c>
      <c r="H10" s="25">
        <v>0.2</v>
      </c>
      <c r="I10" s="25">
        <v>0.6</v>
      </c>
      <c r="J10" s="25" t="s">
        <v>208</v>
      </c>
      <c r="K10" s="25">
        <v>0</v>
      </c>
      <c r="L10" s="26">
        <v>0</v>
      </c>
      <c r="M10" s="26">
        <v>0</v>
      </c>
      <c r="N10" s="26">
        <v>1</v>
      </c>
      <c r="O10" s="26">
        <v>0</v>
      </c>
      <c r="P10" s="25">
        <v>1.2</v>
      </c>
      <c r="Q10" s="27" t="s">
        <v>192</v>
      </c>
      <c r="R10" s="28"/>
      <c r="S10" s="28"/>
      <c r="T10" s="23"/>
      <c r="U10" s="23"/>
      <c r="V10" s="23"/>
      <c r="W10" s="23"/>
      <c r="X10" s="23"/>
      <c r="Y10" s="23"/>
      <c r="Z10" s="23"/>
    </row>
    <row r="11" spans="1:26" ht="22.5" customHeight="1">
      <c r="A11" s="25" t="s">
        <v>138</v>
      </c>
      <c r="B11" s="25" t="s">
        <v>209</v>
      </c>
      <c r="C11" s="25" t="s">
        <v>189</v>
      </c>
      <c r="D11" s="25" t="s">
        <v>122</v>
      </c>
      <c r="E11" s="25" t="s">
        <v>190</v>
      </c>
      <c r="F11" s="25">
        <v>1</v>
      </c>
      <c r="G11" s="25">
        <v>3</v>
      </c>
      <c r="H11" s="25">
        <v>0.2</v>
      </c>
      <c r="I11" s="25">
        <v>0.6</v>
      </c>
      <c r="J11" s="25" t="s">
        <v>210</v>
      </c>
      <c r="K11" s="25">
        <v>0</v>
      </c>
      <c r="L11" s="26">
        <v>0</v>
      </c>
      <c r="M11" s="26">
        <v>0</v>
      </c>
      <c r="N11" s="26">
        <v>1</v>
      </c>
      <c r="O11" s="26">
        <v>0</v>
      </c>
      <c r="P11" s="22">
        <v>1</v>
      </c>
      <c r="Q11" s="27" t="s">
        <v>192</v>
      </c>
      <c r="R11" s="28"/>
      <c r="S11" s="28"/>
      <c r="T11" s="23"/>
      <c r="U11" s="23"/>
      <c r="V11" s="23"/>
      <c r="W11" s="23"/>
      <c r="X11" s="23"/>
      <c r="Y11" s="23"/>
      <c r="Z11" s="23"/>
    </row>
    <row r="12" spans="1:26" ht="22.5" customHeight="1">
      <c r="A12" s="25" t="s">
        <v>140</v>
      </c>
      <c r="B12" s="25" t="s">
        <v>211</v>
      </c>
      <c r="C12" s="25" t="s">
        <v>189</v>
      </c>
      <c r="D12" s="25" t="s">
        <v>119</v>
      </c>
      <c r="E12" s="25" t="s">
        <v>190</v>
      </c>
      <c r="F12" s="25">
        <v>3</v>
      </c>
      <c r="G12" s="25">
        <v>6</v>
      </c>
      <c r="H12" s="25">
        <v>0.3</v>
      </c>
      <c r="I12" s="25">
        <v>0.8</v>
      </c>
      <c r="J12" s="25" t="s">
        <v>212</v>
      </c>
      <c r="K12" s="25">
        <v>0</v>
      </c>
      <c r="L12" s="26">
        <v>0</v>
      </c>
      <c r="M12" s="26">
        <v>0</v>
      </c>
      <c r="N12" s="26">
        <v>1</v>
      </c>
      <c r="O12" s="26">
        <v>0</v>
      </c>
      <c r="P12" s="25">
        <v>0.7</v>
      </c>
      <c r="Q12" s="27" t="s">
        <v>192</v>
      </c>
      <c r="R12" s="28"/>
      <c r="S12" s="28"/>
      <c r="T12" s="23"/>
      <c r="U12" s="23"/>
      <c r="V12" s="23"/>
      <c r="W12" s="23"/>
      <c r="X12" s="23"/>
      <c r="Y12" s="23"/>
      <c r="Z12" s="23"/>
    </row>
    <row r="13" spans="1:26" ht="22.5" customHeight="1">
      <c r="A13" s="25" t="s">
        <v>143</v>
      </c>
      <c r="B13" s="25" t="s">
        <v>213</v>
      </c>
      <c r="C13" s="25" t="s">
        <v>161</v>
      </c>
      <c r="D13" s="25" t="s">
        <v>122</v>
      </c>
      <c r="E13" s="25" t="s">
        <v>190</v>
      </c>
      <c r="F13" s="25">
        <v>1</v>
      </c>
      <c r="G13" s="25">
        <v>2</v>
      </c>
      <c r="H13" s="25">
        <v>0.2</v>
      </c>
      <c r="I13" s="25">
        <v>0.6</v>
      </c>
      <c r="J13" s="25" t="s">
        <v>214</v>
      </c>
      <c r="K13" s="25">
        <v>0</v>
      </c>
      <c r="L13" s="26">
        <v>0</v>
      </c>
      <c r="M13" s="26">
        <v>0</v>
      </c>
      <c r="N13" s="26">
        <v>1</v>
      </c>
      <c r="O13" s="26">
        <v>0</v>
      </c>
      <c r="P13" s="25">
        <v>1.1000000000000001</v>
      </c>
      <c r="Q13" s="27" t="s">
        <v>192</v>
      </c>
      <c r="R13" s="28"/>
      <c r="S13" s="28"/>
      <c r="T13" s="23"/>
      <c r="U13" s="23"/>
      <c r="V13" s="23"/>
      <c r="W13" s="23"/>
      <c r="X13" s="23"/>
      <c r="Y13" s="23"/>
      <c r="Z13" s="23"/>
    </row>
    <row r="14" spans="1:26" ht="22.5" customHeight="1">
      <c r="A14" s="25" t="s">
        <v>146</v>
      </c>
      <c r="B14" s="25" t="s">
        <v>215</v>
      </c>
      <c r="C14" s="25" t="s">
        <v>161</v>
      </c>
      <c r="D14" s="25" t="s">
        <v>122</v>
      </c>
      <c r="E14" s="25" t="s">
        <v>190</v>
      </c>
      <c r="F14" s="25">
        <v>0</v>
      </c>
      <c r="G14" s="25">
        <v>1</v>
      </c>
      <c r="H14" s="25">
        <v>0.2</v>
      </c>
      <c r="I14" s="25">
        <v>0.5</v>
      </c>
      <c r="J14" s="25" t="s">
        <v>216</v>
      </c>
      <c r="K14" s="25">
        <v>0</v>
      </c>
      <c r="L14" s="26">
        <v>0</v>
      </c>
      <c r="M14" s="26">
        <v>0</v>
      </c>
      <c r="N14" s="26">
        <v>1</v>
      </c>
      <c r="O14" s="26">
        <v>0</v>
      </c>
      <c r="P14" s="25">
        <v>1.3</v>
      </c>
      <c r="Q14" s="27" t="s">
        <v>192</v>
      </c>
      <c r="R14" s="28"/>
      <c r="S14" s="28"/>
      <c r="T14" s="23"/>
      <c r="U14" s="23"/>
      <c r="V14" s="23"/>
      <c r="W14" s="23"/>
      <c r="X14" s="23"/>
      <c r="Y14" s="23"/>
      <c r="Z14" s="23"/>
    </row>
    <row r="15" spans="1:26" ht="22.5" customHeight="1">
      <c r="A15" s="25" t="s">
        <v>149</v>
      </c>
      <c r="B15" s="25" t="s">
        <v>217</v>
      </c>
      <c r="C15" s="25" t="s">
        <v>161</v>
      </c>
      <c r="D15" s="25" t="s">
        <v>122</v>
      </c>
      <c r="E15" s="25" t="s">
        <v>190</v>
      </c>
      <c r="F15" s="25">
        <v>1</v>
      </c>
      <c r="G15" s="25">
        <v>2</v>
      </c>
      <c r="H15" s="25">
        <v>0.2</v>
      </c>
      <c r="I15" s="25">
        <v>0.7</v>
      </c>
      <c r="J15" s="25" t="s">
        <v>218</v>
      </c>
      <c r="K15" s="25">
        <v>0</v>
      </c>
      <c r="L15" s="26">
        <v>0</v>
      </c>
      <c r="M15" s="26">
        <v>0</v>
      </c>
      <c r="N15" s="26">
        <v>1</v>
      </c>
      <c r="O15" s="26">
        <v>0</v>
      </c>
      <c r="P15" s="22">
        <v>1</v>
      </c>
      <c r="Q15" s="27" t="s">
        <v>192</v>
      </c>
      <c r="R15" s="28"/>
      <c r="S15" s="28"/>
      <c r="T15" s="23"/>
      <c r="U15" s="23"/>
      <c r="V15" s="23"/>
      <c r="W15" s="23"/>
      <c r="X15" s="23"/>
      <c r="Y15" s="23"/>
      <c r="Z15" s="23"/>
    </row>
    <row r="16" spans="1:26" ht="22.5" customHeight="1">
      <c r="A16" s="25" t="s">
        <v>151</v>
      </c>
      <c r="B16" s="25" t="s">
        <v>219</v>
      </c>
      <c r="C16" s="25" t="s">
        <v>189</v>
      </c>
      <c r="D16" s="25" t="s">
        <v>119</v>
      </c>
      <c r="E16" s="25" t="s">
        <v>190</v>
      </c>
      <c r="F16" s="25">
        <v>1</v>
      </c>
      <c r="G16" s="25">
        <v>3</v>
      </c>
      <c r="H16" s="25">
        <v>0.8</v>
      </c>
      <c r="I16" s="25">
        <v>1.5</v>
      </c>
      <c r="J16" s="25" t="s">
        <v>220</v>
      </c>
      <c r="K16" s="25">
        <v>0</v>
      </c>
      <c r="L16" s="26">
        <v>0</v>
      </c>
      <c r="M16" s="26">
        <v>0.4</v>
      </c>
      <c r="N16" s="26">
        <v>0.6</v>
      </c>
      <c r="O16" s="26">
        <v>0</v>
      </c>
      <c r="P16" s="22">
        <v>1</v>
      </c>
      <c r="Q16" s="27" t="s">
        <v>192</v>
      </c>
      <c r="R16" s="21"/>
      <c r="S16" s="21"/>
      <c r="T16" s="23"/>
      <c r="U16" s="23"/>
      <c r="V16" s="23"/>
      <c r="W16" s="23"/>
      <c r="X16" s="23"/>
      <c r="Y16" s="23"/>
      <c r="Z16" s="23"/>
    </row>
    <row r="17" spans="1:26" ht="22.5" customHeight="1">
      <c r="A17" s="25" t="s">
        <v>154</v>
      </c>
      <c r="B17" s="25" t="s">
        <v>221</v>
      </c>
      <c r="C17" s="25" t="s">
        <v>118</v>
      </c>
      <c r="D17" s="25" t="s">
        <v>119</v>
      </c>
      <c r="E17" s="25" t="s">
        <v>118</v>
      </c>
      <c r="F17" s="25">
        <v>1</v>
      </c>
      <c r="G17" s="25">
        <v>4</v>
      </c>
      <c r="H17" s="25">
        <v>-0.2</v>
      </c>
      <c r="I17" s="25">
        <v>1.4</v>
      </c>
      <c r="J17" s="25" t="s">
        <v>222</v>
      </c>
      <c r="K17" s="25">
        <v>20</v>
      </c>
      <c r="L17" s="26">
        <v>0.1</v>
      </c>
      <c r="M17" s="26">
        <v>0.3</v>
      </c>
      <c r="N17" s="26">
        <v>0.4</v>
      </c>
      <c r="O17" s="26">
        <v>0.2</v>
      </c>
      <c r="P17" s="22">
        <v>1</v>
      </c>
      <c r="Q17" s="27" t="s">
        <v>223</v>
      </c>
      <c r="R17" s="21"/>
      <c r="S17" s="21"/>
      <c r="T17" s="23"/>
      <c r="U17" s="23"/>
      <c r="V17" s="23"/>
      <c r="W17" s="23"/>
      <c r="X17" s="23"/>
      <c r="Y17" s="23"/>
      <c r="Z17" s="23"/>
    </row>
    <row r="18" spans="1:26" ht="22.5" customHeight="1">
      <c r="A18" s="25" t="s">
        <v>157</v>
      </c>
      <c r="B18" s="25" t="s">
        <v>224</v>
      </c>
      <c r="C18" s="25" t="s">
        <v>118</v>
      </c>
      <c r="D18" s="25" t="s">
        <v>122</v>
      </c>
      <c r="E18" s="25" t="s">
        <v>118</v>
      </c>
      <c r="F18" s="25">
        <v>0</v>
      </c>
      <c r="G18" s="25">
        <v>2</v>
      </c>
      <c r="H18" s="25">
        <v>0.2</v>
      </c>
      <c r="I18" s="25">
        <v>0.6</v>
      </c>
      <c r="J18" s="25" t="s">
        <v>225</v>
      </c>
      <c r="K18" s="25">
        <v>30</v>
      </c>
      <c r="L18" s="26">
        <v>0.15</v>
      </c>
      <c r="M18" s="26">
        <v>0.35</v>
      </c>
      <c r="N18" s="26">
        <v>0.28000000000000003</v>
      </c>
      <c r="O18" s="26">
        <v>0.22</v>
      </c>
      <c r="P18" s="22">
        <v>1</v>
      </c>
      <c r="Q18" s="27" t="s">
        <v>223</v>
      </c>
      <c r="R18" s="21"/>
      <c r="S18" s="21"/>
      <c r="T18" s="23"/>
      <c r="U18" s="23"/>
      <c r="V18" s="23"/>
      <c r="W18" s="23"/>
      <c r="X18" s="23"/>
      <c r="Y18" s="23"/>
      <c r="Z18" s="23"/>
    </row>
    <row r="19" spans="1:26" ht="22.5" customHeight="1">
      <c r="A19" s="25" t="s">
        <v>159</v>
      </c>
      <c r="B19" s="25" t="s">
        <v>226</v>
      </c>
      <c r="C19" s="25" t="s">
        <v>118</v>
      </c>
      <c r="D19" s="25" t="s">
        <v>122</v>
      </c>
      <c r="E19" s="25" t="s">
        <v>118</v>
      </c>
      <c r="F19" s="25">
        <v>1</v>
      </c>
      <c r="G19" s="25">
        <v>3</v>
      </c>
      <c r="H19" s="25">
        <v>-0.1</v>
      </c>
      <c r="I19" s="25">
        <v>0.7</v>
      </c>
      <c r="J19" s="25" t="s">
        <v>227</v>
      </c>
      <c r="K19" s="25">
        <v>20</v>
      </c>
      <c r="L19" s="26">
        <v>0.15</v>
      </c>
      <c r="M19" s="26">
        <v>0.35</v>
      </c>
      <c r="N19" s="26">
        <v>0.35</v>
      </c>
      <c r="O19" s="26">
        <v>0.15</v>
      </c>
      <c r="P19" s="22">
        <v>1</v>
      </c>
      <c r="Q19" s="27" t="s">
        <v>223</v>
      </c>
      <c r="R19" s="21"/>
      <c r="S19" s="21"/>
      <c r="T19" s="23"/>
      <c r="U19" s="23"/>
      <c r="V19" s="23"/>
      <c r="W19" s="23"/>
      <c r="X19" s="23"/>
      <c r="Y19" s="23"/>
      <c r="Z19" s="23"/>
    </row>
    <row r="20" spans="1:26" ht="22.5" customHeight="1">
      <c r="A20" s="25" t="s">
        <v>162</v>
      </c>
      <c r="B20" s="25" t="s">
        <v>228</v>
      </c>
      <c r="C20" s="25" t="s">
        <v>118</v>
      </c>
      <c r="D20" s="25" t="s">
        <v>122</v>
      </c>
      <c r="E20" s="25" t="s">
        <v>118</v>
      </c>
      <c r="F20" s="25">
        <v>1</v>
      </c>
      <c r="G20" s="25">
        <v>3</v>
      </c>
      <c r="H20" s="25">
        <v>0.3</v>
      </c>
      <c r="I20" s="25">
        <v>0.8</v>
      </c>
      <c r="J20" s="25" t="s">
        <v>229</v>
      </c>
      <c r="K20" s="25">
        <v>10</v>
      </c>
      <c r="L20" s="26">
        <v>0.13</v>
      </c>
      <c r="M20" s="26">
        <v>0.25</v>
      </c>
      <c r="N20" s="26">
        <v>0.49</v>
      </c>
      <c r="O20" s="26">
        <v>0.13</v>
      </c>
      <c r="P20" s="25">
        <v>1.1000000000000001</v>
      </c>
      <c r="Q20" s="27" t="s">
        <v>223</v>
      </c>
      <c r="R20" s="21"/>
      <c r="S20" s="21"/>
      <c r="T20" s="23"/>
      <c r="U20" s="23"/>
      <c r="V20" s="23"/>
      <c r="W20" s="23"/>
      <c r="X20" s="23"/>
      <c r="Y20" s="23"/>
      <c r="Z20" s="23"/>
    </row>
    <row r="21" spans="1:26" ht="22.5" customHeight="1">
      <c r="A21" s="25" t="s">
        <v>164</v>
      </c>
      <c r="B21" s="25" t="s">
        <v>230</v>
      </c>
      <c r="C21" s="25" t="s">
        <v>118</v>
      </c>
      <c r="D21" s="25" t="s">
        <v>119</v>
      </c>
      <c r="E21" s="25" t="s">
        <v>118</v>
      </c>
      <c r="F21" s="25">
        <v>1</v>
      </c>
      <c r="G21" s="25">
        <v>3</v>
      </c>
      <c r="H21" s="25">
        <v>-1.6</v>
      </c>
      <c r="I21" s="25">
        <v>1.5</v>
      </c>
      <c r="J21" s="25" t="s">
        <v>231</v>
      </c>
      <c r="K21" s="25">
        <v>90</v>
      </c>
      <c r="L21" s="26">
        <v>0.1</v>
      </c>
      <c r="M21" s="26">
        <v>0.55000000000000004</v>
      </c>
      <c r="N21" s="26">
        <v>0.2</v>
      </c>
      <c r="O21" s="26">
        <v>0.15</v>
      </c>
      <c r="P21" s="25">
        <v>1.5</v>
      </c>
      <c r="Q21" s="27" t="s">
        <v>223</v>
      </c>
      <c r="R21" s="21"/>
      <c r="S21" s="21"/>
      <c r="T21" s="23"/>
      <c r="U21" s="23"/>
      <c r="V21" s="23"/>
      <c r="W21" s="23"/>
      <c r="X21" s="23"/>
      <c r="Y21" s="23"/>
      <c r="Z21" s="23"/>
    </row>
    <row r="22" spans="1:26" ht="22.5" customHeight="1">
      <c r="A22" s="25" t="s">
        <v>166</v>
      </c>
      <c r="B22" s="25" t="s">
        <v>232</v>
      </c>
      <c r="C22" s="25" t="s">
        <v>233</v>
      </c>
      <c r="D22" s="25" t="s">
        <v>122</v>
      </c>
      <c r="E22" s="25" t="s">
        <v>233</v>
      </c>
      <c r="F22" s="25">
        <v>0</v>
      </c>
      <c r="G22" s="25">
        <v>2</v>
      </c>
      <c r="H22" s="25">
        <v>0.1</v>
      </c>
      <c r="I22" s="25">
        <v>0.4</v>
      </c>
      <c r="J22" s="25" t="s">
        <v>234</v>
      </c>
      <c r="K22" s="25">
        <v>0</v>
      </c>
      <c r="L22" s="26">
        <v>0.44</v>
      </c>
      <c r="M22" s="26">
        <v>0.22</v>
      </c>
      <c r="N22" s="26">
        <v>0</v>
      </c>
      <c r="O22" s="26">
        <v>0.33</v>
      </c>
      <c r="P22" s="25">
        <v>1.2</v>
      </c>
      <c r="Q22" s="27" t="s">
        <v>192</v>
      </c>
      <c r="R22" s="21"/>
      <c r="S22" s="21"/>
      <c r="T22" s="23"/>
      <c r="U22" s="23"/>
      <c r="V22" s="23"/>
      <c r="W22" s="23"/>
      <c r="X22" s="23"/>
      <c r="Y22" s="23"/>
      <c r="Z22" s="23"/>
    </row>
    <row r="23" spans="1:26" ht="22.5" customHeight="1">
      <c r="A23" s="25" t="s">
        <v>169</v>
      </c>
      <c r="B23" s="25" t="s">
        <v>235</v>
      </c>
      <c r="C23" s="25" t="s">
        <v>233</v>
      </c>
      <c r="D23" s="25" t="s">
        <v>122</v>
      </c>
      <c r="E23" s="25" t="s">
        <v>233</v>
      </c>
      <c r="F23" s="25">
        <v>0</v>
      </c>
      <c r="G23" s="25">
        <v>2</v>
      </c>
      <c r="H23" s="25">
        <v>0.2</v>
      </c>
      <c r="I23" s="25">
        <v>0.6</v>
      </c>
      <c r="J23" s="25" t="s">
        <v>236</v>
      </c>
      <c r="K23" s="25">
        <v>0</v>
      </c>
      <c r="L23" s="26">
        <v>0.3</v>
      </c>
      <c r="M23" s="26">
        <v>0.5</v>
      </c>
      <c r="N23" s="26">
        <v>0</v>
      </c>
      <c r="O23" s="26">
        <v>0.2</v>
      </c>
      <c r="P23" s="25">
        <v>1.3</v>
      </c>
      <c r="Q23" s="27" t="s">
        <v>192</v>
      </c>
      <c r="R23" s="21"/>
      <c r="S23" s="21"/>
      <c r="T23" s="23"/>
      <c r="U23" s="23"/>
      <c r="V23" s="23"/>
      <c r="W23" s="23"/>
      <c r="X23" s="23"/>
      <c r="Y23" s="23"/>
      <c r="Z23" s="23"/>
    </row>
    <row r="24" spans="1:26" ht="22.5" customHeight="1">
      <c r="A24" s="25" t="s">
        <v>173</v>
      </c>
      <c r="B24" s="25" t="s">
        <v>237</v>
      </c>
      <c r="C24" s="25" t="s">
        <v>233</v>
      </c>
      <c r="D24" s="25" t="s">
        <v>148</v>
      </c>
      <c r="E24" s="25" t="s">
        <v>233</v>
      </c>
      <c r="F24" s="25">
        <v>0</v>
      </c>
      <c r="G24" s="25">
        <v>1</v>
      </c>
      <c r="H24" s="25">
        <v>0.1</v>
      </c>
      <c r="I24" s="25">
        <v>0.3</v>
      </c>
      <c r="J24" s="25" t="s">
        <v>238</v>
      </c>
      <c r="K24" s="25">
        <v>0</v>
      </c>
      <c r="L24" s="26">
        <v>0.56000000000000005</v>
      </c>
      <c r="M24" s="26">
        <v>0.11</v>
      </c>
      <c r="N24" s="26">
        <v>0</v>
      </c>
      <c r="O24" s="26">
        <v>0.33</v>
      </c>
      <c r="P24" s="25">
        <v>0.7</v>
      </c>
      <c r="Q24" s="27" t="s">
        <v>192</v>
      </c>
      <c r="R24" s="21"/>
      <c r="S24" s="21"/>
      <c r="T24" s="23"/>
      <c r="U24" s="23"/>
      <c r="V24" s="23"/>
      <c r="W24" s="23"/>
      <c r="X24" s="23"/>
      <c r="Y24" s="23"/>
      <c r="Z24" s="23"/>
    </row>
    <row r="25" spans="1:26" ht="22.5" customHeight="1">
      <c r="A25" s="25" t="s">
        <v>175</v>
      </c>
      <c r="B25" s="25" t="s">
        <v>239</v>
      </c>
      <c r="C25" s="25" t="s">
        <v>233</v>
      </c>
      <c r="D25" s="25" t="s">
        <v>122</v>
      </c>
      <c r="E25" s="25" t="s">
        <v>233</v>
      </c>
      <c r="F25" s="25">
        <v>0</v>
      </c>
      <c r="G25" s="25">
        <v>2</v>
      </c>
      <c r="H25" s="25">
        <v>0.3</v>
      </c>
      <c r="I25" s="25">
        <v>0.7</v>
      </c>
      <c r="J25" s="25" t="s">
        <v>240</v>
      </c>
      <c r="K25" s="25">
        <v>20</v>
      </c>
      <c r="L25" s="26">
        <v>0.66</v>
      </c>
      <c r="M25" s="26">
        <v>0.17</v>
      </c>
      <c r="N25" s="26">
        <v>0</v>
      </c>
      <c r="O25" s="26">
        <v>0.17</v>
      </c>
      <c r="P25" s="25">
        <v>1.2</v>
      </c>
      <c r="Q25" s="27" t="s">
        <v>192</v>
      </c>
      <c r="R25" s="21"/>
      <c r="S25" s="21"/>
      <c r="T25" s="23"/>
      <c r="U25" s="23"/>
      <c r="V25" s="23"/>
      <c r="W25" s="23"/>
      <c r="X25" s="23"/>
      <c r="Y25" s="23"/>
      <c r="Z25" s="23"/>
    </row>
    <row r="26" spans="1:26" ht="22.5" customHeight="1">
      <c r="A26" s="25" t="s">
        <v>178</v>
      </c>
      <c r="B26" s="25" t="s">
        <v>241</v>
      </c>
      <c r="C26" s="25" t="s">
        <v>118</v>
      </c>
      <c r="D26" s="25" t="s">
        <v>119</v>
      </c>
      <c r="E26" s="25" t="s">
        <v>120</v>
      </c>
      <c r="F26" s="25">
        <v>3</v>
      </c>
      <c r="G26" s="25">
        <v>5</v>
      </c>
      <c r="H26" s="25">
        <v>-1.7</v>
      </c>
      <c r="I26" s="25">
        <v>2.2000000000000002</v>
      </c>
      <c r="J26" s="25" t="s">
        <v>242</v>
      </c>
      <c r="K26" s="25">
        <v>95</v>
      </c>
      <c r="L26" s="26">
        <v>0.15</v>
      </c>
      <c r="M26" s="26">
        <v>0.7</v>
      </c>
      <c r="N26" s="26">
        <v>0.1</v>
      </c>
      <c r="O26" s="26">
        <v>0.05</v>
      </c>
      <c r="P26" s="25">
        <v>1.5</v>
      </c>
      <c r="Q26" s="27" t="s">
        <v>243</v>
      </c>
      <c r="R26" s="21"/>
      <c r="S26" s="21"/>
      <c r="T26" s="23"/>
      <c r="U26" s="23"/>
      <c r="V26" s="23"/>
      <c r="W26" s="23"/>
      <c r="X26" s="23"/>
      <c r="Y26" s="23"/>
      <c r="Z26" s="23"/>
    </row>
    <row r="27" spans="1:26" ht="22.5" customHeight="1">
      <c r="A27" s="25" t="s">
        <v>180</v>
      </c>
      <c r="B27" s="25" t="s">
        <v>244</v>
      </c>
      <c r="C27" s="25" t="s">
        <v>118</v>
      </c>
      <c r="D27" s="25" t="s">
        <v>122</v>
      </c>
      <c r="E27" s="25" t="s">
        <v>120</v>
      </c>
      <c r="F27" s="25">
        <v>2</v>
      </c>
      <c r="G27" s="25">
        <v>3</v>
      </c>
      <c r="H27" s="25">
        <v>-1.1000000000000001</v>
      </c>
      <c r="I27" s="25">
        <v>1.1000000000000001</v>
      </c>
      <c r="J27" s="25" t="s">
        <v>245</v>
      </c>
      <c r="K27" s="25">
        <v>90</v>
      </c>
      <c r="L27" s="26">
        <v>0.5</v>
      </c>
      <c r="M27" s="26">
        <v>0.3</v>
      </c>
      <c r="N27" s="26">
        <v>0.15</v>
      </c>
      <c r="O27" s="26">
        <v>0.05</v>
      </c>
      <c r="P27" s="25">
        <v>1.2</v>
      </c>
      <c r="Q27" s="27" t="s">
        <v>243</v>
      </c>
      <c r="R27" s="21"/>
      <c r="S27" s="21"/>
      <c r="T27" s="23"/>
      <c r="U27" s="23"/>
      <c r="V27" s="23"/>
      <c r="W27" s="23"/>
      <c r="X27" s="23"/>
      <c r="Y27" s="23"/>
      <c r="Z27" s="23"/>
    </row>
    <row r="28" spans="1:26" ht="22.5" customHeight="1">
      <c r="A28" s="25" t="s">
        <v>184</v>
      </c>
      <c r="B28" s="25" t="s">
        <v>124</v>
      </c>
      <c r="C28" s="25" t="s">
        <v>118</v>
      </c>
      <c r="D28" s="25" t="s">
        <v>122</v>
      </c>
      <c r="E28" s="25" t="s">
        <v>120</v>
      </c>
      <c r="F28" s="25">
        <v>1</v>
      </c>
      <c r="G28" s="25">
        <v>2</v>
      </c>
      <c r="H28" s="25">
        <v>-0.7</v>
      </c>
      <c r="I28" s="25">
        <v>1.4</v>
      </c>
      <c r="J28" s="25" t="s">
        <v>246</v>
      </c>
      <c r="K28" s="25">
        <v>85</v>
      </c>
      <c r="L28" s="26">
        <v>0.1</v>
      </c>
      <c r="M28" s="26">
        <v>0.06</v>
      </c>
      <c r="N28" s="26">
        <v>0.59</v>
      </c>
      <c r="O28" s="26">
        <v>0.25</v>
      </c>
      <c r="P28" s="22">
        <v>1</v>
      </c>
      <c r="Q28" s="27" t="s">
        <v>243</v>
      </c>
      <c r="R28" s="21"/>
      <c r="S28" s="21"/>
      <c r="T28" s="23"/>
      <c r="U28" s="23"/>
      <c r="V28" s="23"/>
      <c r="W28" s="23"/>
      <c r="X28" s="23"/>
      <c r="Y28" s="23"/>
      <c r="Z28" s="23"/>
    </row>
    <row r="29" spans="1:26" ht="22.5" customHeight="1">
      <c r="A29" s="25" t="s">
        <v>247</v>
      </c>
      <c r="B29" s="25" t="s">
        <v>160</v>
      </c>
      <c r="C29" s="25" t="s">
        <v>118</v>
      </c>
      <c r="D29" s="25" t="s">
        <v>119</v>
      </c>
      <c r="E29" s="25" t="s">
        <v>120</v>
      </c>
      <c r="F29" s="25">
        <v>3</v>
      </c>
      <c r="G29" s="25">
        <v>5</v>
      </c>
      <c r="H29" s="25">
        <v>1.7</v>
      </c>
      <c r="I29" s="25">
        <v>2.8</v>
      </c>
      <c r="J29" s="25" t="s">
        <v>126</v>
      </c>
      <c r="K29" s="25">
        <v>0</v>
      </c>
      <c r="L29" s="26">
        <v>0.15</v>
      </c>
      <c r="M29" s="26">
        <v>0.1</v>
      </c>
      <c r="N29" s="26">
        <v>0.45</v>
      </c>
      <c r="O29" s="26">
        <v>0.3</v>
      </c>
      <c r="P29" s="25">
        <v>0.4</v>
      </c>
      <c r="Q29" s="27" t="s">
        <v>243</v>
      </c>
      <c r="R29" s="21"/>
      <c r="S29" s="21"/>
      <c r="T29" s="23"/>
      <c r="U29" s="23"/>
      <c r="V29" s="23"/>
      <c r="W29" s="23"/>
      <c r="X29" s="23"/>
      <c r="Y29" s="23"/>
      <c r="Z29" s="23"/>
    </row>
    <row r="30" spans="1:26" ht="22.5" customHeight="1">
      <c r="A30" s="25" t="s">
        <v>248</v>
      </c>
      <c r="B30" s="25" t="s">
        <v>128</v>
      </c>
      <c r="C30" s="25" t="s">
        <v>118</v>
      </c>
      <c r="D30" s="25" t="s">
        <v>119</v>
      </c>
      <c r="E30" s="25" t="s">
        <v>120</v>
      </c>
      <c r="F30" s="25">
        <v>1</v>
      </c>
      <c r="G30" s="25">
        <v>1</v>
      </c>
      <c r="H30" s="25">
        <v>-1.2</v>
      </c>
      <c r="I30" s="25">
        <v>0.6</v>
      </c>
      <c r="J30" s="25" t="s">
        <v>129</v>
      </c>
      <c r="K30" s="25">
        <v>70</v>
      </c>
      <c r="L30" s="26">
        <v>0.6</v>
      </c>
      <c r="M30" s="26">
        <v>0.15</v>
      </c>
      <c r="N30" s="26">
        <v>0.2</v>
      </c>
      <c r="O30" s="26">
        <v>0.05</v>
      </c>
      <c r="P30" s="22">
        <v>1</v>
      </c>
      <c r="Q30" s="27" t="s">
        <v>243</v>
      </c>
      <c r="R30" s="21"/>
      <c r="S30" s="21"/>
      <c r="T30" s="23"/>
      <c r="U30" s="23"/>
      <c r="V30" s="23"/>
      <c r="W30" s="23"/>
      <c r="X30" s="23"/>
      <c r="Y30" s="23"/>
      <c r="Z30" s="23"/>
    </row>
    <row r="31" spans="1:26" ht="22.5" customHeight="1">
      <c r="A31" s="25" t="s">
        <v>249</v>
      </c>
      <c r="B31" s="25" t="s">
        <v>250</v>
      </c>
      <c r="C31" s="25" t="s">
        <v>120</v>
      </c>
      <c r="D31" s="25" t="s">
        <v>122</v>
      </c>
      <c r="E31" s="25" t="s">
        <v>120</v>
      </c>
      <c r="F31" s="25">
        <v>2</v>
      </c>
      <c r="G31" s="25">
        <v>3</v>
      </c>
      <c r="H31" s="25">
        <v>-0.5</v>
      </c>
      <c r="I31" s="25">
        <v>1.1000000000000001</v>
      </c>
      <c r="J31" s="25" t="s">
        <v>251</v>
      </c>
      <c r="K31" s="25">
        <v>90</v>
      </c>
      <c r="L31" s="26">
        <v>0.3</v>
      </c>
      <c r="M31" s="26">
        <v>0.1</v>
      </c>
      <c r="N31" s="26">
        <v>0.6</v>
      </c>
      <c r="O31" s="26">
        <v>0</v>
      </c>
      <c r="P31" s="22">
        <v>2</v>
      </c>
      <c r="Q31" s="27" t="s">
        <v>243</v>
      </c>
      <c r="R31" s="21"/>
      <c r="S31" s="21"/>
      <c r="T31" s="23"/>
      <c r="U31" s="23"/>
      <c r="V31" s="23"/>
      <c r="W31" s="23"/>
      <c r="X31" s="23"/>
      <c r="Y31" s="23"/>
      <c r="Z31" s="23"/>
    </row>
    <row r="32" spans="1:26" ht="22.5" customHeight="1">
      <c r="A32" s="25" t="s">
        <v>252</v>
      </c>
      <c r="B32" s="25" t="s">
        <v>132</v>
      </c>
      <c r="C32" s="25" t="s">
        <v>120</v>
      </c>
      <c r="D32" s="25" t="s">
        <v>119</v>
      </c>
      <c r="E32" s="25" t="s">
        <v>120</v>
      </c>
      <c r="F32" s="25">
        <v>4</v>
      </c>
      <c r="G32" s="25">
        <v>7</v>
      </c>
      <c r="H32" s="25">
        <v>-1.5</v>
      </c>
      <c r="I32" s="25">
        <v>2.8</v>
      </c>
      <c r="J32" s="25" t="s">
        <v>133</v>
      </c>
      <c r="K32" s="25">
        <v>85</v>
      </c>
      <c r="L32" s="26">
        <v>0.28999999999999998</v>
      </c>
      <c r="M32" s="26">
        <v>0.5</v>
      </c>
      <c r="N32" s="26">
        <v>0.15</v>
      </c>
      <c r="O32" s="26">
        <v>0.05</v>
      </c>
      <c r="P32" s="25">
        <v>0.5</v>
      </c>
      <c r="Q32" s="27" t="s">
        <v>243</v>
      </c>
      <c r="R32" s="21"/>
      <c r="S32" s="21"/>
      <c r="T32" s="23"/>
      <c r="U32" s="23"/>
      <c r="V32" s="23"/>
      <c r="W32" s="23"/>
      <c r="X32" s="23"/>
      <c r="Y32" s="23"/>
      <c r="Z32" s="23"/>
    </row>
    <row r="33" spans="1:26" ht="22.5" customHeight="1">
      <c r="A33" s="25" t="s">
        <v>253</v>
      </c>
      <c r="B33" s="25" t="s">
        <v>135</v>
      </c>
      <c r="C33" s="25" t="s">
        <v>120</v>
      </c>
      <c r="D33" s="25" t="s">
        <v>122</v>
      </c>
      <c r="E33" s="25" t="s">
        <v>120</v>
      </c>
      <c r="F33" s="25">
        <v>2</v>
      </c>
      <c r="G33" s="25">
        <v>3</v>
      </c>
      <c r="H33" s="25">
        <v>-0.8</v>
      </c>
      <c r="I33" s="25">
        <v>1.4</v>
      </c>
      <c r="J33" s="25" t="s">
        <v>254</v>
      </c>
      <c r="K33" s="25">
        <v>65</v>
      </c>
      <c r="L33" s="26">
        <v>0.2</v>
      </c>
      <c r="M33" s="26">
        <v>0.1</v>
      </c>
      <c r="N33" s="26">
        <v>0.5</v>
      </c>
      <c r="O33" s="26">
        <v>0.2</v>
      </c>
      <c r="P33" s="25">
        <v>1.5</v>
      </c>
      <c r="Q33" s="27" t="s">
        <v>243</v>
      </c>
      <c r="R33" s="21"/>
      <c r="S33" s="21"/>
      <c r="T33" s="23"/>
      <c r="U33" s="23"/>
      <c r="V33" s="23"/>
      <c r="W33" s="23"/>
      <c r="X33" s="23"/>
      <c r="Y33" s="23"/>
      <c r="Z33" s="23"/>
    </row>
    <row r="34" spans="1:26" ht="22.5" customHeight="1">
      <c r="A34" s="25" t="s">
        <v>255</v>
      </c>
      <c r="B34" s="25" t="s">
        <v>137</v>
      </c>
      <c r="C34" s="25" t="s">
        <v>120</v>
      </c>
      <c r="D34" s="25" t="s">
        <v>122</v>
      </c>
      <c r="E34" s="25" t="s">
        <v>120</v>
      </c>
      <c r="F34" s="25">
        <v>2</v>
      </c>
      <c r="G34" s="25">
        <v>3</v>
      </c>
      <c r="H34" s="25">
        <v>-0.9</v>
      </c>
      <c r="I34" s="25">
        <v>1.7</v>
      </c>
      <c r="J34" s="25" t="s">
        <v>256</v>
      </c>
      <c r="K34" s="25">
        <v>75</v>
      </c>
      <c r="L34" s="26">
        <v>0.1</v>
      </c>
      <c r="M34" s="26">
        <v>0.7</v>
      </c>
      <c r="N34" s="26">
        <v>0.15</v>
      </c>
      <c r="O34" s="26">
        <v>0.05</v>
      </c>
      <c r="P34" s="25">
        <v>0.8</v>
      </c>
      <c r="Q34" s="27" t="s">
        <v>243</v>
      </c>
      <c r="R34" s="21"/>
      <c r="S34" s="21"/>
      <c r="T34" s="23"/>
      <c r="U34" s="23"/>
      <c r="V34" s="23"/>
      <c r="W34" s="23"/>
      <c r="X34" s="23"/>
      <c r="Y34" s="23"/>
      <c r="Z34" s="23"/>
    </row>
    <row r="35" spans="1:26" ht="22.5" customHeight="1">
      <c r="A35" s="25" t="s">
        <v>257</v>
      </c>
      <c r="B35" s="25" t="s">
        <v>139</v>
      </c>
      <c r="C35" s="25" t="s">
        <v>120</v>
      </c>
      <c r="D35" s="25" t="s">
        <v>122</v>
      </c>
      <c r="E35" s="25" t="s">
        <v>120</v>
      </c>
      <c r="F35" s="25">
        <v>1</v>
      </c>
      <c r="G35" s="25">
        <v>2</v>
      </c>
      <c r="H35" s="25">
        <v>-0.3</v>
      </c>
      <c r="I35" s="25">
        <v>0.8</v>
      </c>
      <c r="J35" s="25" t="s">
        <v>258</v>
      </c>
      <c r="K35" s="25">
        <v>60</v>
      </c>
      <c r="L35" s="26">
        <v>0.1</v>
      </c>
      <c r="M35" s="26">
        <v>0.2</v>
      </c>
      <c r="N35" s="26">
        <v>0.2</v>
      </c>
      <c r="O35" s="26">
        <v>0.5</v>
      </c>
      <c r="P35" s="25">
        <v>0.6</v>
      </c>
      <c r="Q35" s="27" t="s">
        <v>243</v>
      </c>
      <c r="R35" s="21"/>
      <c r="S35" s="21"/>
      <c r="T35" s="23"/>
      <c r="U35" s="23"/>
      <c r="V35" s="23"/>
      <c r="W35" s="23"/>
      <c r="X35" s="23"/>
      <c r="Y35" s="23"/>
      <c r="Z35" s="23"/>
    </row>
    <row r="36" spans="1:26" ht="22.5" customHeight="1">
      <c r="A36" s="25" t="s">
        <v>259</v>
      </c>
      <c r="B36" s="25" t="s">
        <v>141</v>
      </c>
      <c r="C36" s="25" t="s">
        <v>120</v>
      </c>
      <c r="D36" s="25" t="s">
        <v>122</v>
      </c>
      <c r="E36" s="25" t="s">
        <v>120</v>
      </c>
      <c r="F36" s="25">
        <v>1</v>
      </c>
      <c r="G36" s="25">
        <v>2</v>
      </c>
      <c r="H36" s="25">
        <v>0.4</v>
      </c>
      <c r="I36" s="25">
        <v>0.8</v>
      </c>
      <c r="J36" s="25" t="s">
        <v>142</v>
      </c>
      <c r="K36" s="25">
        <v>0</v>
      </c>
      <c r="L36" s="26">
        <v>0.22</v>
      </c>
      <c r="M36" s="26">
        <v>0.22</v>
      </c>
      <c r="N36" s="26">
        <v>0.33</v>
      </c>
      <c r="O36" s="26">
        <v>0.22</v>
      </c>
      <c r="P36" s="25">
        <v>0.3</v>
      </c>
      <c r="Q36" s="27" t="s">
        <v>243</v>
      </c>
      <c r="R36" s="21"/>
      <c r="S36" s="21"/>
      <c r="T36" s="23"/>
      <c r="U36" s="23"/>
      <c r="V36" s="23"/>
      <c r="W36" s="23"/>
      <c r="X36" s="23"/>
      <c r="Y36" s="23"/>
      <c r="Z36" s="23"/>
    </row>
    <row r="37" spans="1:26" ht="22.5" customHeight="1">
      <c r="A37" s="25" t="s">
        <v>260</v>
      </c>
      <c r="B37" s="25" t="s">
        <v>144</v>
      </c>
      <c r="C37" s="25" t="s">
        <v>120</v>
      </c>
      <c r="D37" s="25" t="s">
        <v>119</v>
      </c>
      <c r="E37" s="25" t="s">
        <v>120</v>
      </c>
      <c r="F37" s="25">
        <v>3</v>
      </c>
      <c r="G37" s="25">
        <v>4</v>
      </c>
      <c r="H37" s="25">
        <v>-1.4</v>
      </c>
      <c r="I37" s="25">
        <v>1.9</v>
      </c>
      <c r="J37" s="25" t="s">
        <v>145</v>
      </c>
      <c r="K37" s="25">
        <v>75</v>
      </c>
      <c r="L37" s="26">
        <v>0.4</v>
      </c>
      <c r="M37" s="26">
        <v>0.2</v>
      </c>
      <c r="N37" s="26">
        <v>0.3</v>
      </c>
      <c r="O37" s="26">
        <v>0.1</v>
      </c>
      <c r="P37" s="25">
        <v>0.4</v>
      </c>
      <c r="Q37" s="27" t="s">
        <v>243</v>
      </c>
      <c r="R37" s="21"/>
      <c r="S37" s="21"/>
      <c r="T37" s="23"/>
      <c r="U37" s="23"/>
      <c r="V37" s="23"/>
      <c r="W37" s="23"/>
      <c r="X37" s="23"/>
      <c r="Y37" s="23"/>
      <c r="Z37" s="23"/>
    </row>
    <row r="38" spans="1:26" ht="22.5" customHeight="1">
      <c r="A38" s="25" t="s">
        <v>261</v>
      </c>
      <c r="B38" s="25" t="s">
        <v>147</v>
      </c>
      <c r="C38" s="25" t="s">
        <v>120</v>
      </c>
      <c r="D38" s="25" t="s">
        <v>148</v>
      </c>
      <c r="E38" s="25" t="s">
        <v>120</v>
      </c>
      <c r="F38" s="25">
        <v>1</v>
      </c>
      <c r="G38" s="25">
        <v>2</v>
      </c>
      <c r="H38" s="25">
        <v>-0.3</v>
      </c>
      <c r="I38" s="25">
        <v>0.7</v>
      </c>
      <c r="J38" s="25" t="s">
        <v>262</v>
      </c>
      <c r="K38" s="25">
        <v>65</v>
      </c>
      <c r="L38" s="26">
        <v>0.11</v>
      </c>
      <c r="M38" s="26">
        <v>0.06</v>
      </c>
      <c r="N38" s="26">
        <v>0.72</v>
      </c>
      <c r="O38" s="26">
        <v>0.11</v>
      </c>
      <c r="P38" s="25">
        <v>1.2</v>
      </c>
      <c r="Q38" s="27" t="s">
        <v>243</v>
      </c>
      <c r="R38" s="21"/>
      <c r="S38" s="21"/>
      <c r="T38" s="23"/>
      <c r="U38" s="23"/>
      <c r="V38" s="23"/>
      <c r="W38" s="23"/>
      <c r="X38" s="23"/>
      <c r="Y38" s="23"/>
      <c r="Z38" s="23"/>
    </row>
    <row r="39" spans="1:26" ht="22.5" customHeight="1">
      <c r="A39" s="25" t="s">
        <v>263</v>
      </c>
      <c r="B39" s="25" t="s">
        <v>150</v>
      </c>
      <c r="C39" s="25" t="s">
        <v>120</v>
      </c>
      <c r="D39" s="25" t="s">
        <v>122</v>
      </c>
      <c r="E39" s="25" t="s">
        <v>120</v>
      </c>
      <c r="F39" s="25">
        <v>2</v>
      </c>
      <c r="G39" s="25">
        <v>3</v>
      </c>
      <c r="H39" s="22">
        <v>0.1</v>
      </c>
      <c r="I39" s="25">
        <v>1.1000000000000001</v>
      </c>
      <c r="J39" s="25" t="s">
        <v>264</v>
      </c>
      <c r="K39" s="25">
        <v>0</v>
      </c>
      <c r="L39" s="26">
        <v>0.1</v>
      </c>
      <c r="M39" s="26">
        <v>0.5</v>
      </c>
      <c r="N39" s="26">
        <v>0.2</v>
      </c>
      <c r="O39" s="26">
        <v>0.2</v>
      </c>
      <c r="P39" s="25">
        <v>0.8</v>
      </c>
      <c r="Q39" s="27" t="s">
        <v>243</v>
      </c>
      <c r="R39" s="21"/>
      <c r="S39" s="21"/>
      <c r="T39" s="23"/>
      <c r="U39" s="23"/>
      <c r="V39" s="23"/>
      <c r="W39" s="23"/>
      <c r="X39" s="23"/>
      <c r="Y39" s="23"/>
      <c r="Z39" s="23"/>
    </row>
    <row r="40" spans="1:26" ht="22.5" customHeight="1">
      <c r="A40" s="25" t="s">
        <v>265</v>
      </c>
      <c r="B40" s="25" t="s">
        <v>152</v>
      </c>
      <c r="C40" s="25" t="s">
        <v>120</v>
      </c>
      <c r="D40" s="25" t="s">
        <v>119</v>
      </c>
      <c r="E40" s="25" t="s">
        <v>120</v>
      </c>
      <c r="F40" s="25">
        <v>3</v>
      </c>
      <c r="G40" s="25">
        <v>4</v>
      </c>
      <c r="H40" s="25">
        <v>-1.3</v>
      </c>
      <c r="I40" s="25">
        <v>2.2000000000000002</v>
      </c>
      <c r="J40" s="25" t="s">
        <v>153</v>
      </c>
      <c r="K40" s="25">
        <v>70</v>
      </c>
      <c r="L40" s="26">
        <v>0.2</v>
      </c>
      <c r="M40" s="26">
        <v>0.3</v>
      </c>
      <c r="N40" s="26">
        <v>0.4</v>
      </c>
      <c r="O40" s="26">
        <v>0.1</v>
      </c>
      <c r="P40" s="25">
        <v>0.2</v>
      </c>
      <c r="Q40" s="27" t="s">
        <v>243</v>
      </c>
      <c r="R40" s="21"/>
      <c r="S40" s="21"/>
      <c r="T40" s="23"/>
      <c r="U40" s="23"/>
      <c r="V40" s="23"/>
      <c r="W40" s="23"/>
      <c r="X40" s="23"/>
      <c r="Y40" s="23"/>
      <c r="Z40" s="23"/>
    </row>
    <row r="41" spans="1:26" ht="22.5" customHeight="1">
      <c r="A41" s="25" t="s">
        <v>266</v>
      </c>
      <c r="B41" s="25" t="s">
        <v>155</v>
      </c>
      <c r="C41" s="25" t="s">
        <v>120</v>
      </c>
      <c r="D41" s="25" t="s">
        <v>119</v>
      </c>
      <c r="E41" s="25" t="s">
        <v>120</v>
      </c>
      <c r="F41" s="25">
        <v>5</v>
      </c>
      <c r="G41" s="25">
        <v>8</v>
      </c>
      <c r="H41" s="25">
        <v>-0.5</v>
      </c>
      <c r="I41" s="25">
        <v>3.9</v>
      </c>
      <c r="J41" s="25" t="s">
        <v>156</v>
      </c>
      <c r="K41" s="25">
        <v>60</v>
      </c>
      <c r="L41" s="26">
        <v>0.2</v>
      </c>
      <c r="M41" s="26">
        <v>0.1</v>
      </c>
      <c r="N41" s="26">
        <v>0.3</v>
      </c>
      <c r="O41" s="26">
        <v>0.4</v>
      </c>
      <c r="P41" s="25">
        <v>0.3</v>
      </c>
      <c r="Q41" s="27" t="s">
        <v>243</v>
      </c>
      <c r="R41" s="21"/>
      <c r="S41" s="21"/>
      <c r="T41" s="23"/>
      <c r="U41" s="23"/>
      <c r="V41" s="23"/>
      <c r="W41" s="23"/>
      <c r="X41" s="23"/>
      <c r="Y41" s="23"/>
      <c r="Z41" s="23"/>
    </row>
    <row r="42" spans="1:26" ht="22.5" customHeight="1">
      <c r="A42" s="25" t="s">
        <v>267</v>
      </c>
      <c r="B42" s="25" t="s">
        <v>158</v>
      </c>
      <c r="C42" s="25" t="s">
        <v>120</v>
      </c>
      <c r="D42" s="25" t="s">
        <v>122</v>
      </c>
      <c r="E42" s="25" t="s">
        <v>120</v>
      </c>
      <c r="F42" s="25">
        <v>1</v>
      </c>
      <c r="G42" s="25">
        <v>2</v>
      </c>
      <c r="H42" s="22">
        <v>0.1</v>
      </c>
      <c r="I42" s="25">
        <v>0.7</v>
      </c>
      <c r="J42" s="25" t="s">
        <v>268</v>
      </c>
      <c r="K42" s="25">
        <v>0</v>
      </c>
      <c r="L42" s="26">
        <v>0.2</v>
      </c>
      <c r="M42" s="26">
        <v>0.4</v>
      </c>
      <c r="N42" s="26">
        <v>0.2</v>
      </c>
      <c r="O42" s="26">
        <v>0.2</v>
      </c>
      <c r="P42" s="25">
        <v>0.5</v>
      </c>
      <c r="Q42" s="27" t="s">
        <v>243</v>
      </c>
      <c r="R42" s="21"/>
      <c r="S42" s="21"/>
      <c r="T42" s="23"/>
      <c r="U42" s="23"/>
      <c r="V42" s="23"/>
      <c r="W42" s="23"/>
      <c r="X42" s="23"/>
      <c r="Y42" s="23"/>
      <c r="Z42" s="23"/>
    </row>
    <row r="43" spans="1:26" ht="22.5" customHeight="1">
      <c r="A43" s="25" t="s">
        <v>269</v>
      </c>
      <c r="B43" s="25" t="s">
        <v>163</v>
      </c>
      <c r="C43" s="25" t="s">
        <v>161</v>
      </c>
      <c r="D43" s="25" t="s">
        <v>119</v>
      </c>
      <c r="E43" s="25" t="s">
        <v>120</v>
      </c>
      <c r="F43" s="25">
        <v>4</v>
      </c>
      <c r="G43" s="25">
        <v>7</v>
      </c>
      <c r="H43" s="25">
        <v>-0.8</v>
      </c>
      <c r="I43" s="25">
        <v>3.3</v>
      </c>
      <c r="J43" s="25" t="s">
        <v>270</v>
      </c>
      <c r="K43" s="25">
        <v>70</v>
      </c>
      <c r="L43" s="26">
        <v>0.1</v>
      </c>
      <c r="M43" s="26">
        <v>0.1</v>
      </c>
      <c r="N43" s="26">
        <v>0.6</v>
      </c>
      <c r="O43" s="26">
        <v>0.2</v>
      </c>
      <c r="P43" s="25">
        <v>0.3</v>
      </c>
      <c r="Q43" s="27" t="s">
        <v>243</v>
      </c>
      <c r="R43" s="21"/>
      <c r="S43" s="21"/>
      <c r="T43" s="23"/>
      <c r="U43" s="23"/>
      <c r="V43" s="23"/>
      <c r="W43" s="23"/>
      <c r="X43" s="23"/>
      <c r="Y43" s="23"/>
      <c r="Z43" s="23"/>
    </row>
    <row r="44" spans="1:26" ht="22.5" customHeight="1">
      <c r="A44" s="25" t="s">
        <v>271</v>
      </c>
      <c r="B44" s="25" t="s">
        <v>167</v>
      </c>
      <c r="C44" s="25" t="s">
        <v>161</v>
      </c>
      <c r="D44" s="25" t="s">
        <v>119</v>
      </c>
      <c r="E44" s="25" t="s">
        <v>120</v>
      </c>
      <c r="F44" s="25">
        <v>3</v>
      </c>
      <c r="G44" s="25">
        <v>5</v>
      </c>
      <c r="H44" s="25">
        <v>1.4</v>
      </c>
      <c r="I44" s="25">
        <v>2.2000000000000002</v>
      </c>
      <c r="J44" s="25" t="s">
        <v>168</v>
      </c>
      <c r="K44" s="25">
        <v>0</v>
      </c>
      <c r="L44" s="26">
        <v>0.4</v>
      </c>
      <c r="M44" s="26">
        <v>0.2</v>
      </c>
      <c r="N44" s="26">
        <v>0.3</v>
      </c>
      <c r="O44" s="26">
        <v>0.1</v>
      </c>
      <c r="P44" s="25">
        <v>0.2</v>
      </c>
      <c r="Q44" s="27" t="s">
        <v>243</v>
      </c>
      <c r="R44" s="21"/>
      <c r="S44" s="21"/>
      <c r="T44" s="23"/>
      <c r="U44" s="23"/>
      <c r="V44" s="23"/>
      <c r="W44" s="23"/>
      <c r="X44" s="23"/>
      <c r="Y44" s="23"/>
      <c r="Z44" s="23"/>
    </row>
    <row r="45" spans="1:26" ht="22.5" customHeight="1">
      <c r="A45" s="25" t="s">
        <v>272</v>
      </c>
      <c r="B45" s="25" t="s">
        <v>170</v>
      </c>
      <c r="C45" s="25" t="s">
        <v>171</v>
      </c>
      <c r="D45" s="25" t="s">
        <v>122</v>
      </c>
      <c r="E45" s="25" t="s">
        <v>120</v>
      </c>
      <c r="F45" s="25">
        <v>2</v>
      </c>
      <c r="G45" s="25">
        <v>4</v>
      </c>
      <c r="H45" s="25">
        <v>0.8</v>
      </c>
      <c r="I45" s="25">
        <v>1.7</v>
      </c>
      <c r="J45" s="25" t="s">
        <v>172</v>
      </c>
      <c r="K45" s="25">
        <v>60</v>
      </c>
      <c r="L45" s="26">
        <v>0.1</v>
      </c>
      <c r="M45" s="26">
        <v>0.1</v>
      </c>
      <c r="N45" s="26">
        <v>0.5</v>
      </c>
      <c r="O45" s="26">
        <v>0.3</v>
      </c>
      <c r="P45" s="25">
        <v>0.5</v>
      </c>
      <c r="Q45" s="27" t="s">
        <v>243</v>
      </c>
      <c r="R45" s="21"/>
      <c r="S45" s="21"/>
      <c r="T45" s="23"/>
      <c r="U45" s="23"/>
      <c r="V45" s="23"/>
      <c r="W45" s="23"/>
      <c r="X45" s="23"/>
      <c r="Y45" s="23"/>
      <c r="Z45" s="23"/>
    </row>
    <row r="46" spans="1:26" ht="22.5" customHeight="1">
      <c r="A46" s="25" t="s">
        <v>273</v>
      </c>
      <c r="B46" s="25" t="s">
        <v>174</v>
      </c>
      <c r="C46" s="25" t="s">
        <v>171</v>
      </c>
      <c r="D46" s="25" t="s">
        <v>122</v>
      </c>
      <c r="E46" s="25" t="s">
        <v>120</v>
      </c>
      <c r="F46" s="25">
        <v>0</v>
      </c>
      <c r="G46" s="25">
        <v>0</v>
      </c>
      <c r="H46" s="25">
        <v>1.1000000000000001</v>
      </c>
      <c r="I46" s="25">
        <v>2.5</v>
      </c>
      <c r="J46" s="25" t="s">
        <v>274</v>
      </c>
      <c r="K46" s="25">
        <v>0</v>
      </c>
      <c r="L46" s="26">
        <v>0.2</v>
      </c>
      <c r="M46" s="26">
        <v>0.6</v>
      </c>
      <c r="N46" s="26">
        <v>0.1</v>
      </c>
      <c r="O46" s="26">
        <v>0.1</v>
      </c>
      <c r="P46" s="25">
        <v>0.4</v>
      </c>
      <c r="Q46" s="27" t="s">
        <v>243</v>
      </c>
      <c r="R46" s="21"/>
      <c r="S46" s="21"/>
      <c r="T46" s="23"/>
      <c r="U46" s="23"/>
      <c r="V46" s="23"/>
      <c r="W46" s="23"/>
      <c r="X46" s="23"/>
      <c r="Y46" s="23"/>
      <c r="Z46" s="23"/>
    </row>
    <row r="47" spans="1:26" ht="22.5" customHeight="1">
      <c r="A47" s="25" t="s">
        <v>275</v>
      </c>
      <c r="B47" s="25" t="s">
        <v>176</v>
      </c>
      <c r="C47" s="25" t="s">
        <v>171</v>
      </c>
      <c r="D47" s="25" t="s">
        <v>119</v>
      </c>
      <c r="E47" s="25" t="s">
        <v>120</v>
      </c>
      <c r="F47" s="25">
        <v>3</v>
      </c>
      <c r="G47" s="25">
        <v>5</v>
      </c>
      <c r="H47" s="25">
        <v>-0.6</v>
      </c>
      <c r="I47" s="25">
        <v>2.2000000000000002</v>
      </c>
      <c r="J47" s="25" t="s">
        <v>177</v>
      </c>
      <c r="K47" s="25">
        <v>70</v>
      </c>
      <c r="L47" s="26">
        <v>0.15</v>
      </c>
      <c r="M47" s="26">
        <v>0.15</v>
      </c>
      <c r="N47" s="26">
        <v>0.5</v>
      </c>
      <c r="O47" s="26">
        <v>0.2</v>
      </c>
      <c r="P47" s="25">
        <v>0.6</v>
      </c>
      <c r="Q47" s="27" t="s">
        <v>243</v>
      </c>
      <c r="R47" s="21"/>
      <c r="S47" s="21"/>
      <c r="T47" s="23"/>
      <c r="U47" s="23"/>
      <c r="V47" s="23"/>
      <c r="W47" s="23"/>
      <c r="X47" s="23"/>
      <c r="Y47" s="23"/>
      <c r="Z47" s="23"/>
    </row>
    <row r="48" spans="1:26" ht="22.5" customHeight="1">
      <c r="A48" s="25" t="s">
        <v>276</v>
      </c>
      <c r="B48" s="25" t="s">
        <v>179</v>
      </c>
      <c r="C48" s="25" t="s">
        <v>171</v>
      </c>
      <c r="D48" s="25" t="s">
        <v>122</v>
      </c>
      <c r="E48" s="25" t="s">
        <v>120</v>
      </c>
      <c r="F48" s="25">
        <v>2</v>
      </c>
      <c r="G48" s="25">
        <v>3</v>
      </c>
      <c r="H48" s="25">
        <v>-0.5</v>
      </c>
      <c r="I48" s="25">
        <v>1.4</v>
      </c>
      <c r="J48" s="25" t="s">
        <v>277</v>
      </c>
      <c r="K48" s="25">
        <v>65</v>
      </c>
      <c r="L48" s="26">
        <v>0.1</v>
      </c>
      <c r="M48" s="26">
        <v>0.1</v>
      </c>
      <c r="N48" s="26">
        <v>0.7</v>
      </c>
      <c r="O48" s="26">
        <v>0.1</v>
      </c>
      <c r="P48" s="25">
        <v>0.8</v>
      </c>
      <c r="Q48" s="27" t="s">
        <v>243</v>
      </c>
      <c r="R48" s="21"/>
      <c r="S48" s="21"/>
      <c r="T48" s="23"/>
      <c r="U48" s="23"/>
      <c r="V48" s="23"/>
      <c r="W48" s="23"/>
      <c r="X48" s="23"/>
      <c r="Y48" s="23"/>
      <c r="Z48" s="23"/>
    </row>
    <row r="49" spans="1:26" ht="22.5" customHeight="1">
      <c r="A49" s="25" t="s">
        <v>278</v>
      </c>
      <c r="B49" s="25" t="s">
        <v>181</v>
      </c>
      <c r="C49" s="25" t="s">
        <v>182</v>
      </c>
      <c r="D49" s="25" t="s">
        <v>122</v>
      </c>
      <c r="E49" s="25" t="s">
        <v>120</v>
      </c>
      <c r="F49" s="25">
        <v>2</v>
      </c>
      <c r="G49" s="25">
        <v>3</v>
      </c>
      <c r="H49" s="25">
        <v>0.8</v>
      </c>
      <c r="I49" s="25">
        <v>1.4</v>
      </c>
      <c r="J49" s="25" t="s">
        <v>183</v>
      </c>
      <c r="K49" s="25">
        <v>70</v>
      </c>
      <c r="L49" s="26">
        <v>0.25</v>
      </c>
      <c r="M49" s="26">
        <v>0.15</v>
      </c>
      <c r="N49" s="26">
        <v>0.5</v>
      </c>
      <c r="O49" s="26">
        <v>0.1</v>
      </c>
      <c r="P49" s="22">
        <v>1</v>
      </c>
      <c r="Q49" s="27" t="s">
        <v>243</v>
      </c>
      <c r="R49" s="21"/>
      <c r="S49" s="21"/>
      <c r="T49" s="23"/>
      <c r="U49" s="23"/>
      <c r="V49" s="23"/>
      <c r="W49" s="23"/>
      <c r="X49" s="23"/>
      <c r="Y49" s="23"/>
      <c r="Z49" s="23"/>
    </row>
    <row r="50" spans="1:26" ht="22.5" customHeight="1">
      <c r="A50" s="25" t="s">
        <v>279</v>
      </c>
      <c r="B50" s="25" t="s">
        <v>280</v>
      </c>
      <c r="C50" s="25" t="s">
        <v>120</v>
      </c>
      <c r="D50" s="25" t="s">
        <v>119</v>
      </c>
      <c r="E50" s="25" t="s">
        <v>120</v>
      </c>
      <c r="F50" s="25">
        <v>1</v>
      </c>
      <c r="G50" s="25">
        <v>3</v>
      </c>
      <c r="H50" s="25">
        <v>0.5</v>
      </c>
      <c r="I50" s="22">
        <v>1</v>
      </c>
      <c r="J50" s="25" t="s">
        <v>281</v>
      </c>
      <c r="K50" s="25">
        <v>20</v>
      </c>
      <c r="L50" s="26">
        <v>0.1</v>
      </c>
      <c r="M50" s="26">
        <v>0.5</v>
      </c>
      <c r="N50" s="26">
        <v>0.2</v>
      </c>
      <c r="O50" s="26">
        <v>0.2</v>
      </c>
      <c r="P50" s="25">
        <v>1.4</v>
      </c>
      <c r="Q50" s="27" t="s">
        <v>243</v>
      </c>
      <c r="R50" s="21"/>
      <c r="S50" s="21"/>
      <c r="T50" s="23"/>
      <c r="U50" s="23"/>
      <c r="V50" s="23"/>
      <c r="W50" s="23"/>
      <c r="X50" s="23"/>
      <c r="Y50" s="23"/>
      <c r="Z50" s="23"/>
    </row>
    <row r="51" spans="1:26" ht="22.5" customHeight="1">
      <c r="A51" s="25" t="s">
        <v>282</v>
      </c>
      <c r="B51" s="25" t="s">
        <v>283</v>
      </c>
      <c r="C51" s="25" t="s">
        <v>120</v>
      </c>
      <c r="D51" s="25" t="s">
        <v>119</v>
      </c>
      <c r="E51" s="25" t="s">
        <v>120</v>
      </c>
      <c r="F51" s="25">
        <v>1</v>
      </c>
      <c r="G51" s="25">
        <v>2</v>
      </c>
      <c r="H51" s="25">
        <v>0.4</v>
      </c>
      <c r="I51" s="25">
        <v>0.8</v>
      </c>
      <c r="J51" s="25" t="s">
        <v>284</v>
      </c>
      <c r="K51" s="25">
        <v>10</v>
      </c>
      <c r="L51" s="26">
        <v>0.15</v>
      </c>
      <c r="M51" s="26">
        <v>0.25</v>
      </c>
      <c r="N51" s="26">
        <v>0.35</v>
      </c>
      <c r="O51" s="26">
        <v>0.25</v>
      </c>
      <c r="P51" s="22">
        <v>1</v>
      </c>
      <c r="Q51" s="27" t="s">
        <v>243</v>
      </c>
      <c r="R51" s="21"/>
      <c r="S51" s="21"/>
      <c r="T51" s="23"/>
      <c r="U51" s="23"/>
      <c r="V51" s="23"/>
      <c r="W51" s="23"/>
      <c r="X51" s="23"/>
      <c r="Y51" s="23"/>
      <c r="Z51" s="23"/>
    </row>
    <row r="52" spans="1:26" ht="22.5" customHeight="1">
      <c r="A52" s="25" t="s">
        <v>285</v>
      </c>
      <c r="B52" s="25" t="s">
        <v>286</v>
      </c>
      <c r="C52" s="25" t="s">
        <v>120</v>
      </c>
      <c r="D52" s="25" t="s">
        <v>122</v>
      </c>
      <c r="E52" s="25" t="s">
        <v>120</v>
      </c>
      <c r="F52" s="25">
        <v>1</v>
      </c>
      <c r="G52" s="25">
        <v>2</v>
      </c>
      <c r="H52" s="25">
        <v>-0.3</v>
      </c>
      <c r="I52" s="25">
        <v>0.7</v>
      </c>
      <c r="J52" s="25" t="s">
        <v>287</v>
      </c>
      <c r="K52" s="25">
        <v>25</v>
      </c>
      <c r="L52" s="26">
        <v>0.12</v>
      </c>
      <c r="M52" s="26">
        <v>0.41</v>
      </c>
      <c r="N52" s="26">
        <v>0.28999999999999998</v>
      </c>
      <c r="O52" s="26">
        <v>0.18</v>
      </c>
      <c r="P52" s="25">
        <v>1.2</v>
      </c>
      <c r="Q52" s="27" t="s">
        <v>243</v>
      </c>
      <c r="R52" s="21"/>
      <c r="S52" s="21"/>
      <c r="T52" s="23"/>
      <c r="U52" s="23"/>
      <c r="V52" s="23"/>
      <c r="W52" s="23"/>
      <c r="X52" s="23"/>
      <c r="Y52" s="23"/>
      <c r="Z52" s="23"/>
    </row>
    <row r="53" spans="1:26" ht="22.5" customHeight="1">
      <c r="A53" s="25" t="s">
        <v>288</v>
      </c>
      <c r="B53" s="25" t="s">
        <v>289</v>
      </c>
      <c r="C53" s="25" t="s">
        <v>120</v>
      </c>
      <c r="D53" s="25" t="s">
        <v>122</v>
      </c>
      <c r="E53" s="25" t="s">
        <v>120</v>
      </c>
      <c r="F53" s="25">
        <v>0</v>
      </c>
      <c r="G53" s="25">
        <v>1</v>
      </c>
      <c r="H53" s="25">
        <v>-0.6</v>
      </c>
      <c r="I53" s="25">
        <v>0.5</v>
      </c>
      <c r="J53" s="25" t="s">
        <v>290</v>
      </c>
      <c r="K53" s="25">
        <v>45</v>
      </c>
      <c r="L53" s="26">
        <v>0.13</v>
      </c>
      <c r="M53" s="26">
        <v>0.47</v>
      </c>
      <c r="N53" s="26">
        <v>0.27</v>
      </c>
      <c r="O53" s="26">
        <v>0.13</v>
      </c>
      <c r="P53" s="25">
        <v>1.3</v>
      </c>
      <c r="Q53" s="27" t="s">
        <v>243</v>
      </c>
      <c r="R53" s="21"/>
      <c r="S53" s="21"/>
      <c r="T53" s="23"/>
      <c r="U53" s="23"/>
      <c r="V53" s="23"/>
      <c r="W53" s="23"/>
      <c r="X53" s="23"/>
      <c r="Y53" s="23"/>
      <c r="Z53" s="23"/>
    </row>
    <row r="54" spans="1:26" ht="22.5" customHeight="1">
      <c r="A54" s="25" t="s">
        <v>291</v>
      </c>
      <c r="B54" s="25" t="s">
        <v>292</v>
      </c>
      <c r="C54" s="25" t="s">
        <v>120</v>
      </c>
      <c r="D54" s="25" t="s">
        <v>119</v>
      </c>
      <c r="E54" s="25" t="s">
        <v>120</v>
      </c>
      <c r="F54" s="25">
        <v>1</v>
      </c>
      <c r="G54" s="25">
        <v>2</v>
      </c>
      <c r="H54" s="25">
        <v>-0.3</v>
      </c>
      <c r="I54" s="25">
        <v>0.8</v>
      </c>
      <c r="J54" s="25" t="s">
        <v>293</v>
      </c>
      <c r="K54" s="25">
        <v>15</v>
      </c>
      <c r="L54" s="26">
        <v>0.11</v>
      </c>
      <c r="M54" s="26">
        <v>0.33</v>
      </c>
      <c r="N54" s="26">
        <v>0.33</v>
      </c>
      <c r="O54" s="26">
        <v>0.22</v>
      </c>
      <c r="P54" s="25">
        <v>1.1000000000000001</v>
      </c>
      <c r="Q54" s="27" t="s">
        <v>243</v>
      </c>
      <c r="R54" s="21"/>
      <c r="S54" s="21"/>
      <c r="T54" s="23"/>
      <c r="U54" s="23"/>
      <c r="V54" s="23"/>
      <c r="W54" s="23"/>
      <c r="X54" s="23"/>
      <c r="Y54" s="23"/>
      <c r="Z54" s="23"/>
    </row>
    <row r="55" spans="1:26" ht="22.5" customHeight="1">
      <c r="A55" s="25" t="s">
        <v>294</v>
      </c>
      <c r="B55" s="25" t="s">
        <v>295</v>
      </c>
      <c r="C55" s="25" t="s">
        <v>120</v>
      </c>
      <c r="D55" s="25" t="s">
        <v>122</v>
      </c>
      <c r="E55" s="25" t="s">
        <v>120</v>
      </c>
      <c r="F55" s="25">
        <v>0</v>
      </c>
      <c r="G55" s="25">
        <v>2</v>
      </c>
      <c r="H55" s="25">
        <v>0.2</v>
      </c>
      <c r="I55" s="25">
        <v>0.6</v>
      </c>
      <c r="J55" s="25" t="s">
        <v>296</v>
      </c>
      <c r="K55" s="25">
        <v>0</v>
      </c>
      <c r="L55" s="26">
        <v>0.14000000000000001</v>
      </c>
      <c r="M55" s="26">
        <v>0.14000000000000001</v>
      </c>
      <c r="N55" s="26">
        <v>0.28999999999999998</v>
      </c>
      <c r="O55" s="26">
        <v>0.43</v>
      </c>
      <c r="P55" s="22">
        <v>1</v>
      </c>
      <c r="Q55" s="27" t="s">
        <v>243</v>
      </c>
      <c r="R55" s="21"/>
      <c r="S55" s="21"/>
      <c r="T55" s="23"/>
      <c r="U55" s="23"/>
      <c r="V55" s="23"/>
      <c r="W55" s="23"/>
      <c r="X55" s="23"/>
      <c r="Y55" s="23"/>
      <c r="Z55" s="23"/>
    </row>
    <row r="56" spans="1:26" ht="22.5" customHeight="1">
      <c r="A56" s="25" t="s">
        <v>297</v>
      </c>
      <c r="B56" s="25" t="s">
        <v>298</v>
      </c>
      <c r="C56" s="25" t="s">
        <v>120</v>
      </c>
      <c r="D56" s="25" t="s">
        <v>122</v>
      </c>
      <c r="E56" s="25" t="s">
        <v>120</v>
      </c>
      <c r="F56" s="25">
        <v>1</v>
      </c>
      <c r="G56" s="25">
        <v>2</v>
      </c>
      <c r="H56" s="25">
        <v>-0.8</v>
      </c>
      <c r="I56" s="25">
        <v>0.7</v>
      </c>
      <c r="J56" s="25" t="s">
        <v>299</v>
      </c>
      <c r="K56" s="25">
        <v>65</v>
      </c>
      <c r="L56" s="26">
        <v>0.11</v>
      </c>
      <c r="M56" s="26">
        <v>0.44</v>
      </c>
      <c r="N56" s="26">
        <v>0.28000000000000003</v>
      </c>
      <c r="O56" s="26">
        <v>0.17</v>
      </c>
      <c r="P56" s="25">
        <v>1.4</v>
      </c>
      <c r="Q56" s="27" t="s">
        <v>243</v>
      </c>
      <c r="R56" s="21"/>
      <c r="S56" s="21"/>
      <c r="T56" s="23"/>
      <c r="U56" s="23"/>
      <c r="V56" s="23"/>
      <c r="W56" s="23"/>
      <c r="X56" s="23"/>
      <c r="Y56" s="23"/>
      <c r="Z56" s="23"/>
    </row>
    <row r="57" spans="1:26" ht="22.5" customHeight="1">
      <c r="A57" s="25" t="s">
        <v>300</v>
      </c>
      <c r="B57" s="25" t="s">
        <v>301</v>
      </c>
      <c r="C57" s="25" t="s">
        <v>120</v>
      </c>
      <c r="D57" s="25" t="s">
        <v>122</v>
      </c>
      <c r="E57" s="25" t="s">
        <v>120</v>
      </c>
      <c r="F57" s="25">
        <v>0</v>
      </c>
      <c r="G57" s="25">
        <v>2</v>
      </c>
      <c r="H57" s="25">
        <v>-0.2</v>
      </c>
      <c r="I57" s="25">
        <v>0.6</v>
      </c>
      <c r="J57" s="25" t="s">
        <v>302</v>
      </c>
      <c r="K57" s="25">
        <v>30</v>
      </c>
      <c r="L57" s="26">
        <v>0.06</v>
      </c>
      <c r="M57" s="26">
        <v>0.42</v>
      </c>
      <c r="N57" s="26">
        <v>0.31</v>
      </c>
      <c r="O57" s="26">
        <v>0.21</v>
      </c>
      <c r="P57" s="25">
        <v>1.1000000000000001</v>
      </c>
      <c r="Q57" s="27" t="s">
        <v>243</v>
      </c>
      <c r="R57" s="21"/>
      <c r="S57" s="21"/>
      <c r="T57" s="23"/>
      <c r="U57" s="23"/>
      <c r="V57" s="23"/>
      <c r="W57" s="23"/>
      <c r="X57" s="23"/>
      <c r="Y57" s="23"/>
      <c r="Z57" s="23"/>
    </row>
    <row r="58" spans="1:26" ht="22.5" customHeight="1">
      <c r="A58" s="25" t="s">
        <v>303</v>
      </c>
      <c r="B58" s="25" t="s">
        <v>304</v>
      </c>
      <c r="C58" s="25" t="s">
        <v>120</v>
      </c>
      <c r="D58" s="25" t="s">
        <v>119</v>
      </c>
      <c r="E58" s="25" t="s">
        <v>120</v>
      </c>
      <c r="F58" s="25">
        <v>2</v>
      </c>
      <c r="G58" s="25">
        <v>4</v>
      </c>
      <c r="H58" s="25">
        <v>0.3</v>
      </c>
      <c r="I58" s="25">
        <v>0.8</v>
      </c>
      <c r="J58" s="25" t="s">
        <v>305</v>
      </c>
      <c r="K58" s="25">
        <v>10</v>
      </c>
      <c r="L58" s="26">
        <v>0.12</v>
      </c>
      <c r="M58" s="26">
        <v>0.28999999999999998</v>
      </c>
      <c r="N58" s="26">
        <v>0.36</v>
      </c>
      <c r="O58" s="26">
        <v>0.23</v>
      </c>
      <c r="P58" s="25">
        <v>1.4</v>
      </c>
      <c r="Q58" s="27" t="s">
        <v>243</v>
      </c>
      <c r="R58" s="21"/>
      <c r="S58" s="21"/>
      <c r="T58" s="23"/>
      <c r="U58" s="23"/>
      <c r="V58" s="23"/>
      <c r="W58" s="23"/>
      <c r="X58" s="23"/>
      <c r="Y58" s="23"/>
      <c r="Z58" s="23"/>
    </row>
    <row r="59" spans="1:26" ht="22.5" customHeight="1">
      <c r="A59" s="25" t="s">
        <v>306</v>
      </c>
      <c r="B59" s="25" t="s">
        <v>307</v>
      </c>
      <c r="C59" s="25" t="s">
        <v>120</v>
      </c>
      <c r="D59" s="25" t="s">
        <v>122</v>
      </c>
      <c r="E59" s="25" t="s">
        <v>120</v>
      </c>
      <c r="F59" s="25">
        <v>0</v>
      </c>
      <c r="G59" s="25">
        <v>2</v>
      </c>
      <c r="H59" s="25">
        <v>-0.5</v>
      </c>
      <c r="I59" s="25">
        <v>0.5</v>
      </c>
      <c r="J59" s="25" t="s">
        <v>308</v>
      </c>
      <c r="K59" s="25">
        <v>40</v>
      </c>
      <c r="L59" s="26">
        <v>0.17</v>
      </c>
      <c r="M59" s="26">
        <v>0.33</v>
      </c>
      <c r="N59" s="26">
        <v>0.28000000000000003</v>
      </c>
      <c r="O59" s="26">
        <v>0.22</v>
      </c>
      <c r="P59" s="25">
        <v>1.2</v>
      </c>
      <c r="Q59" s="27" t="s">
        <v>243</v>
      </c>
      <c r="R59" s="21"/>
      <c r="S59" s="21"/>
      <c r="T59" s="23"/>
      <c r="U59" s="23"/>
      <c r="V59" s="23"/>
      <c r="W59" s="23"/>
      <c r="X59" s="23"/>
      <c r="Y59" s="23"/>
      <c r="Z59" s="23"/>
    </row>
    <row r="60" spans="1:26" ht="22.5" customHeight="1">
      <c r="A60" s="25" t="s">
        <v>309</v>
      </c>
      <c r="B60" s="25" t="s">
        <v>310</v>
      </c>
      <c r="C60" s="25" t="s">
        <v>120</v>
      </c>
      <c r="D60" s="25" t="s">
        <v>119</v>
      </c>
      <c r="E60" s="25" t="s">
        <v>120</v>
      </c>
      <c r="F60" s="25">
        <v>1</v>
      </c>
      <c r="G60" s="25">
        <v>3</v>
      </c>
      <c r="H60" s="25">
        <v>0.4</v>
      </c>
      <c r="I60" s="22">
        <v>1</v>
      </c>
      <c r="J60" s="25" t="s">
        <v>311</v>
      </c>
      <c r="K60" s="25">
        <v>20</v>
      </c>
      <c r="L60" s="26">
        <v>0.2</v>
      </c>
      <c r="M60" s="26">
        <v>0.4</v>
      </c>
      <c r="N60" s="26">
        <v>0.2</v>
      </c>
      <c r="O60" s="26">
        <v>0.2</v>
      </c>
      <c r="P60" s="25">
        <v>1.5</v>
      </c>
      <c r="Q60" s="27" t="s">
        <v>243</v>
      </c>
      <c r="R60" s="21"/>
      <c r="S60" s="21"/>
      <c r="T60" s="23"/>
      <c r="U60" s="23"/>
      <c r="V60" s="23"/>
      <c r="W60" s="23"/>
      <c r="X60" s="23"/>
      <c r="Y60" s="23"/>
      <c r="Z60" s="23"/>
    </row>
    <row r="61" spans="1:26" ht="22.5" customHeight="1">
      <c r="A61" s="25" t="s">
        <v>312</v>
      </c>
      <c r="B61" s="25" t="s">
        <v>313</v>
      </c>
      <c r="C61" s="25" t="s">
        <v>120</v>
      </c>
      <c r="D61" s="25" t="s">
        <v>122</v>
      </c>
      <c r="E61" s="25" t="s">
        <v>120</v>
      </c>
      <c r="F61" s="25">
        <v>0</v>
      </c>
      <c r="G61" s="25">
        <v>1</v>
      </c>
      <c r="H61" s="25">
        <v>0.2</v>
      </c>
      <c r="I61" s="25">
        <v>0.6</v>
      </c>
      <c r="J61" s="25" t="s">
        <v>314</v>
      </c>
      <c r="K61" s="25">
        <v>15</v>
      </c>
      <c r="L61" s="26">
        <v>0.15</v>
      </c>
      <c r="M61" s="26">
        <v>0.43</v>
      </c>
      <c r="N61" s="26">
        <v>0.28000000000000003</v>
      </c>
      <c r="O61" s="26">
        <v>0.15</v>
      </c>
      <c r="P61" s="25">
        <v>1.2</v>
      </c>
      <c r="Q61" s="27" t="s">
        <v>243</v>
      </c>
      <c r="R61" s="21"/>
      <c r="S61" s="21"/>
      <c r="T61" s="23"/>
      <c r="U61" s="23"/>
      <c r="V61" s="23"/>
      <c r="W61" s="23"/>
      <c r="X61" s="23"/>
      <c r="Y61" s="23"/>
      <c r="Z61" s="23"/>
    </row>
    <row r="62" spans="1:26" ht="22.5" customHeight="1">
      <c r="A62" s="25" t="s">
        <v>315</v>
      </c>
      <c r="B62" s="25" t="s">
        <v>316</v>
      </c>
      <c r="C62" s="25" t="s">
        <v>120</v>
      </c>
      <c r="D62" s="25" t="s">
        <v>122</v>
      </c>
      <c r="E62" s="25" t="s">
        <v>120</v>
      </c>
      <c r="F62" s="25">
        <v>0</v>
      </c>
      <c r="G62" s="25">
        <v>1</v>
      </c>
      <c r="H62" s="25">
        <v>0.2</v>
      </c>
      <c r="I62" s="25">
        <v>0.4</v>
      </c>
      <c r="J62" s="25" t="s">
        <v>317</v>
      </c>
      <c r="K62" s="25">
        <v>0</v>
      </c>
      <c r="L62" s="26">
        <v>0</v>
      </c>
      <c r="M62" s="26">
        <v>0.44</v>
      </c>
      <c r="N62" s="26">
        <v>0.33</v>
      </c>
      <c r="O62" s="26">
        <v>0.22</v>
      </c>
      <c r="P62" s="22">
        <v>1</v>
      </c>
      <c r="Q62" s="27" t="s">
        <v>243</v>
      </c>
      <c r="R62" s="21"/>
      <c r="S62" s="21"/>
      <c r="T62" s="23"/>
      <c r="U62" s="23"/>
      <c r="V62" s="23"/>
      <c r="W62" s="23"/>
      <c r="X62" s="23"/>
      <c r="Y62" s="23"/>
      <c r="Z62" s="23"/>
    </row>
    <row r="63" spans="1:26" ht="22.5" customHeight="1">
      <c r="A63" s="25" t="s">
        <v>318</v>
      </c>
      <c r="B63" s="25" t="s">
        <v>319</v>
      </c>
      <c r="C63" s="25" t="s">
        <v>120</v>
      </c>
      <c r="D63" s="25" t="s">
        <v>122</v>
      </c>
      <c r="E63" s="25" t="s">
        <v>120</v>
      </c>
      <c r="F63" s="25">
        <v>1</v>
      </c>
      <c r="G63" s="25">
        <v>2</v>
      </c>
      <c r="H63" s="25">
        <v>0.2</v>
      </c>
      <c r="I63" s="25">
        <v>0.7</v>
      </c>
      <c r="J63" s="25" t="s">
        <v>320</v>
      </c>
      <c r="K63" s="25">
        <v>10</v>
      </c>
      <c r="L63" s="26">
        <v>0.17</v>
      </c>
      <c r="M63" s="26">
        <v>0.33</v>
      </c>
      <c r="N63" s="26">
        <v>0.33</v>
      </c>
      <c r="O63" s="26">
        <v>0.17</v>
      </c>
      <c r="P63" s="25">
        <v>1.1000000000000001</v>
      </c>
      <c r="Q63" s="27" t="s">
        <v>243</v>
      </c>
      <c r="R63" s="21"/>
      <c r="S63" s="21"/>
      <c r="T63" s="23"/>
      <c r="U63" s="23"/>
      <c r="V63" s="23"/>
      <c r="W63" s="23"/>
      <c r="X63" s="23"/>
      <c r="Y63" s="23"/>
      <c r="Z63" s="23"/>
    </row>
    <row r="64" spans="1:26" ht="22.5" customHeight="1">
      <c r="A64" s="25" t="s">
        <v>321</v>
      </c>
      <c r="B64" s="25" t="s">
        <v>322</v>
      </c>
      <c r="C64" s="25" t="s">
        <v>120</v>
      </c>
      <c r="D64" s="25" t="s">
        <v>122</v>
      </c>
      <c r="E64" s="25" t="s">
        <v>120</v>
      </c>
      <c r="F64" s="25">
        <v>0</v>
      </c>
      <c r="G64" s="25">
        <v>1</v>
      </c>
      <c r="H64" s="25">
        <v>0.2</v>
      </c>
      <c r="I64" s="25">
        <v>0.4</v>
      </c>
      <c r="J64" s="25" t="s">
        <v>323</v>
      </c>
      <c r="K64" s="25">
        <v>0</v>
      </c>
      <c r="L64" s="26">
        <v>0</v>
      </c>
      <c r="M64" s="26">
        <v>0.2</v>
      </c>
      <c r="N64" s="26">
        <v>0.6</v>
      </c>
      <c r="O64" s="26">
        <v>0.2</v>
      </c>
      <c r="P64" s="25">
        <v>0.9</v>
      </c>
      <c r="Q64" s="27" t="s">
        <v>243</v>
      </c>
      <c r="R64" s="21"/>
      <c r="S64" s="21"/>
      <c r="T64" s="23"/>
      <c r="U64" s="23"/>
      <c r="V64" s="23"/>
      <c r="W64" s="23"/>
      <c r="X64" s="23"/>
      <c r="Y64" s="23"/>
      <c r="Z64" s="23"/>
    </row>
    <row r="65" spans="1:26" ht="22.5" customHeight="1">
      <c r="A65" s="25" t="s">
        <v>324</v>
      </c>
      <c r="B65" s="25" t="s">
        <v>325</v>
      </c>
      <c r="C65" s="25" t="s">
        <v>120</v>
      </c>
      <c r="D65" s="25" t="s">
        <v>119</v>
      </c>
      <c r="E65" s="25" t="s">
        <v>120</v>
      </c>
      <c r="F65" s="25">
        <v>1</v>
      </c>
      <c r="G65" s="25">
        <v>3</v>
      </c>
      <c r="H65" s="25">
        <v>0.6</v>
      </c>
      <c r="I65" s="25">
        <v>1.2</v>
      </c>
      <c r="J65" s="25" t="s">
        <v>326</v>
      </c>
      <c r="K65" s="25">
        <v>10</v>
      </c>
      <c r="L65" s="26">
        <v>0.1</v>
      </c>
      <c r="M65" s="26">
        <v>0.4</v>
      </c>
      <c r="N65" s="26">
        <v>0.3</v>
      </c>
      <c r="O65" s="26">
        <v>0.2</v>
      </c>
      <c r="P65" s="22">
        <v>1</v>
      </c>
      <c r="Q65" s="27" t="s">
        <v>243</v>
      </c>
      <c r="R65" s="21"/>
      <c r="S65" s="21"/>
      <c r="T65" s="23"/>
      <c r="U65" s="23"/>
      <c r="V65" s="23"/>
      <c r="W65" s="23"/>
      <c r="X65" s="23"/>
      <c r="Y65" s="23"/>
      <c r="Z65" s="23"/>
    </row>
    <row r="66" spans="1:26" ht="22.5" customHeight="1">
      <c r="A66" s="25" t="s">
        <v>327</v>
      </c>
      <c r="B66" s="25" t="s">
        <v>328</v>
      </c>
      <c r="C66" s="25" t="s">
        <v>120</v>
      </c>
      <c r="D66" s="25" t="s">
        <v>119</v>
      </c>
      <c r="E66" s="25" t="s">
        <v>120</v>
      </c>
      <c r="F66" s="25">
        <v>1</v>
      </c>
      <c r="G66" s="25">
        <v>2</v>
      </c>
      <c r="H66" s="25">
        <v>0.3</v>
      </c>
      <c r="I66" s="25">
        <v>0.8</v>
      </c>
      <c r="J66" s="25" t="s">
        <v>329</v>
      </c>
      <c r="K66" s="25">
        <v>0</v>
      </c>
      <c r="L66" s="26">
        <v>0</v>
      </c>
      <c r="M66" s="26">
        <v>0.28000000000000003</v>
      </c>
      <c r="N66" s="26">
        <v>0.43</v>
      </c>
      <c r="O66" s="26">
        <v>0.28000000000000003</v>
      </c>
      <c r="P66" s="25">
        <v>0.8</v>
      </c>
      <c r="Q66" s="27" t="s">
        <v>243</v>
      </c>
      <c r="R66" s="21"/>
      <c r="S66" s="21"/>
      <c r="T66" s="23"/>
      <c r="U66" s="23"/>
      <c r="V66" s="23"/>
      <c r="W66" s="23"/>
      <c r="X66" s="23"/>
      <c r="Y66" s="23"/>
      <c r="Z66" s="23"/>
    </row>
    <row r="67" spans="1:26" ht="22.5" customHeight="1">
      <c r="A67" s="25" t="s">
        <v>330</v>
      </c>
      <c r="B67" s="25" t="s">
        <v>331</v>
      </c>
      <c r="C67" s="25" t="s">
        <v>182</v>
      </c>
      <c r="D67" s="25" t="s">
        <v>122</v>
      </c>
      <c r="E67" s="25" t="s">
        <v>182</v>
      </c>
      <c r="F67" s="25">
        <v>0</v>
      </c>
      <c r="G67" s="25">
        <v>2</v>
      </c>
      <c r="H67" s="25">
        <v>0.1</v>
      </c>
      <c r="I67" s="25">
        <v>0.4</v>
      </c>
      <c r="J67" s="25" t="s">
        <v>332</v>
      </c>
      <c r="K67" s="25">
        <v>15</v>
      </c>
      <c r="L67" s="26">
        <v>0</v>
      </c>
      <c r="M67" s="26">
        <v>0.28000000000000003</v>
      </c>
      <c r="N67" s="26">
        <v>0.56999999999999995</v>
      </c>
      <c r="O67" s="26">
        <v>0.15</v>
      </c>
      <c r="P67" s="22">
        <v>1</v>
      </c>
      <c r="Q67" s="27" t="s">
        <v>333</v>
      </c>
      <c r="R67" s="21"/>
      <c r="S67" s="21"/>
      <c r="T67" s="23"/>
      <c r="U67" s="23"/>
      <c r="V67" s="23"/>
      <c r="W67" s="23"/>
      <c r="X67" s="23"/>
      <c r="Y67" s="23"/>
      <c r="Z67" s="23"/>
    </row>
    <row r="68" spans="1:26" ht="22.5" customHeight="1">
      <c r="A68" s="25" t="s">
        <v>334</v>
      </c>
      <c r="B68" s="25" t="s">
        <v>335</v>
      </c>
      <c r="C68" s="25" t="s">
        <v>182</v>
      </c>
      <c r="D68" s="25" t="s">
        <v>122</v>
      </c>
      <c r="E68" s="25" t="s">
        <v>182</v>
      </c>
      <c r="F68" s="25">
        <v>0</v>
      </c>
      <c r="G68" s="25">
        <v>1</v>
      </c>
      <c r="H68" s="25">
        <v>0.2</v>
      </c>
      <c r="I68" s="25">
        <v>0.5</v>
      </c>
      <c r="J68" s="25" t="s">
        <v>336</v>
      </c>
      <c r="K68" s="25">
        <v>10</v>
      </c>
      <c r="L68" s="26">
        <v>0</v>
      </c>
      <c r="M68" s="26">
        <v>0</v>
      </c>
      <c r="N68" s="26">
        <v>0.75</v>
      </c>
      <c r="O68" s="26">
        <v>0.25</v>
      </c>
      <c r="P68" s="25">
        <v>0.7</v>
      </c>
      <c r="Q68" s="27" t="s">
        <v>333</v>
      </c>
      <c r="R68" s="21"/>
      <c r="S68" s="21"/>
      <c r="T68" s="23"/>
      <c r="U68" s="23"/>
      <c r="V68" s="23"/>
      <c r="W68" s="23"/>
      <c r="X68" s="23"/>
      <c r="Y68" s="23"/>
      <c r="Z68" s="23"/>
    </row>
    <row r="69" spans="1:26" ht="22.5" customHeight="1">
      <c r="A69" s="25" t="s">
        <v>337</v>
      </c>
      <c r="B69" s="25" t="s">
        <v>338</v>
      </c>
      <c r="C69" s="25" t="s">
        <v>182</v>
      </c>
      <c r="D69" s="25" t="s">
        <v>122</v>
      </c>
      <c r="E69" s="25" t="s">
        <v>182</v>
      </c>
      <c r="F69" s="25">
        <v>0</v>
      </c>
      <c r="G69" s="25">
        <v>2</v>
      </c>
      <c r="H69" s="25">
        <v>0.1</v>
      </c>
      <c r="I69" s="25">
        <v>0.4</v>
      </c>
      <c r="J69" s="25" t="s">
        <v>339</v>
      </c>
      <c r="K69" s="25">
        <v>0</v>
      </c>
      <c r="L69" s="26">
        <v>0</v>
      </c>
      <c r="M69" s="26">
        <v>0.28000000000000003</v>
      </c>
      <c r="N69" s="26">
        <v>0.56999999999999995</v>
      </c>
      <c r="O69" s="26">
        <v>0.15</v>
      </c>
      <c r="P69" s="22">
        <v>1</v>
      </c>
      <c r="Q69" s="27" t="s">
        <v>333</v>
      </c>
      <c r="R69" s="21"/>
      <c r="S69" s="21"/>
      <c r="T69" s="23"/>
      <c r="U69" s="23"/>
      <c r="V69" s="23"/>
      <c r="W69" s="23"/>
      <c r="X69" s="23"/>
      <c r="Y69" s="23"/>
      <c r="Z69" s="23"/>
    </row>
    <row r="70" spans="1:26" ht="22.5" customHeight="1">
      <c r="A70" s="25" t="s">
        <v>340</v>
      </c>
      <c r="B70" s="25" t="s">
        <v>341</v>
      </c>
      <c r="C70" s="25" t="s">
        <v>182</v>
      </c>
      <c r="D70" s="25" t="s">
        <v>119</v>
      </c>
      <c r="E70" s="25" t="s">
        <v>182</v>
      </c>
      <c r="F70" s="25">
        <v>1</v>
      </c>
      <c r="G70" s="25">
        <v>3</v>
      </c>
      <c r="H70" s="25">
        <v>0.3</v>
      </c>
      <c r="I70" s="25">
        <v>0.8</v>
      </c>
      <c r="J70" s="25" t="s">
        <v>342</v>
      </c>
      <c r="K70" s="25">
        <v>20</v>
      </c>
      <c r="L70" s="26">
        <v>7.0000000000000007E-2</v>
      </c>
      <c r="M70" s="26">
        <v>0.4</v>
      </c>
      <c r="N70" s="26">
        <v>0.4</v>
      </c>
      <c r="O70" s="26">
        <v>0.13</v>
      </c>
      <c r="P70" s="25">
        <v>1.2</v>
      </c>
      <c r="Q70" s="27" t="s">
        <v>333</v>
      </c>
      <c r="R70" s="21"/>
      <c r="S70" s="21"/>
      <c r="T70" s="23"/>
      <c r="U70" s="23"/>
      <c r="V70" s="23"/>
      <c r="W70" s="23"/>
      <c r="X70" s="23"/>
      <c r="Y70" s="23"/>
      <c r="Z70" s="23"/>
    </row>
    <row r="71" spans="1:26" ht="22.5" customHeight="1">
      <c r="A71" s="25" t="s">
        <v>343</v>
      </c>
      <c r="B71" s="25" t="s">
        <v>344</v>
      </c>
      <c r="C71" s="25" t="s">
        <v>182</v>
      </c>
      <c r="D71" s="25" t="s">
        <v>122</v>
      </c>
      <c r="E71" s="25" t="s">
        <v>182</v>
      </c>
      <c r="F71" s="25">
        <v>0</v>
      </c>
      <c r="G71" s="25">
        <v>1</v>
      </c>
      <c r="H71" s="25">
        <v>0.1</v>
      </c>
      <c r="I71" s="25">
        <v>0.3</v>
      </c>
      <c r="J71" s="25" t="s">
        <v>345</v>
      </c>
      <c r="K71" s="25">
        <v>0</v>
      </c>
      <c r="L71" s="26">
        <v>0</v>
      </c>
      <c r="M71" s="26">
        <v>0.28000000000000003</v>
      </c>
      <c r="N71" s="26">
        <v>0.56999999999999995</v>
      </c>
      <c r="O71" s="26">
        <v>0.15</v>
      </c>
      <c r="P71" s="22">
        <v>1</v>
      </c>
      <c r="Q71" s="27" t="s">
        <v>333</v>
      </c>
      <c r="R71" s="21"/>
      <c r="S71" s="21"/>
      <c r="T71" s="23"/>
      <c r="U71" s="23"/>
      <c r="V71" s="23"/>
      <c r="W71" s="23"/>
      <c r="X71" s="23"/>
      <c r="Y71" s="23"/>
      <c r="Z71" s="23"/>
    </row>
    <row r="72" spans="1:26" ht="22.5" customHeight="1">
      <c r="A72" s="25" t="s">
        <v>346</v>
      </c>
      <c r="B72" s="25" t="s">
        <v>347</v>
      </c>
      <c r="C72" s="25" t="s">
        <v>182</v>
      </c>
      <c r="D72" s="25" t="s">
        <v>122</v>
      </c>
      <c r="E72" s="25" t="s">
        <v>182</v>
      </c>
      <c r="F72" s="25">
        <v>1</v>
      </c>
      <c r="G72" s="25">
        <v>2</v>
      </c>
      <c r="H72" s="25">
        <v>0.2</v>
      </c>
      <c r="I72" s="25">
        <v>0.6</v>
      </c>
      <c r="J72" s="25" t="s">
        <v>348</v>
      </c>
      <c r="K72" s="25">
        <v>5</v>
      </c>
      <c r="L72" s="26">
        <v>0.09</v>
      </c>
      <c r="M72" s="26">
        <v>0.34</v>
      </c>
      <c r="N72" s="26">
        <v>0.41</v>
      </c>
      <c r="O72" s="26">
        <v>0.16</v>
      </c>
      <c r="P72" s="25">
        <v>1.1000000000000001</v>
      </c>
      <c r="Q72" s="27" t="s">
        <v>333</v>
      </c>
      <c r="R72" s="21"/>
      <c r="S72" s="21"/>
      <c r="T72" s="23"/>
      <c r="U72" s="23"/>
      <c r="V72" s="23"/>
      <c r="W72" s="23"/>
      <c r="X72" s="23"/>
      <c r="Y72" s="23"/>
      <c r="Z72" s="23"/>
    </row>
    <row r="73" spans="1:26" ht="22.5" customHeight="1">
      <c r="A73" s="25" t="s">
        <v>349</v>
      </c>
      <c r="B73" s="25" t="s">
        <v>350</v>
      </c>
      <c r="C73" s="25" t="s">
        <v>182</v>
      </c>
      <c r="D73" s="25" t="s">
        <v>122</v>
      </c>
      <c r="E73" s="25" t="s">
        <v>182</v>
      </c>
      <c r="F73" s="25">
        <v>0</v>
      </c>
      <c r="G73" s="25">
        <v>2</v>
      </c>
      <c r="H73" s="25">
        <v>0.1</v>
      </c>
      <c r="I73" s="25">
        <v>0.4</v>
      </c>
      <c r="J73" s="25" t="s">
        <v>351</v>
      </c>
      <c r="K73" s="25">
        <v>0</v>
      </c>
      <c r="L73" s="26">
        <v>0</v>
      </c>
      <c r="M73" s="26">
        <v>0.22</v>
      </c>
      <c r="N73" s="26">
        <v>0.66</v>
      </c>
      <c r="O73" s="26">
        <v>0.12</v>
      </c>
      <c r="P73" s="25">
        <v>1.2</v>
      </c>
      <c r="Q73" s="27" t="s">
        <v>333</v>
      </c>
      <c r="R73" s="21"/>
      <c r="S73" s="21"/>
      <c r="T73" s="23"/>
      <c r="U73" s="23"/>
      <c r="V73" s="23"/>
      <c r="W73" s="23"/>
      <c r="X73" s="23"/>
      <c r="Y73" s="23"/>
      <c r="Z73" s="23"/>
    </row>
    <row r="74" spans="1:26" ht="22.5" customHeight="1">
      <c r="A74" s="25" t="s">
        <v>352</v>
      </c>
      <c r="B74" s="25" t="s">
        <v>353</v>
      </c>
      <c r="C74" s="25" t="s">
        <v>182</v>
      </c>
      <c r="D74" s="25" t="s">
        <v>119</v>
      </c>
      <c r="E74" s="25" t="s">
        <v>182</v>
      </c>
      <c r="F74" s="25">
        <v>1</v>
      </c>
      <c r="G74" s="25">
        <v>3</v>
      </c>
      <c r="H74" s="25">
        <v>0.3</v>
      </c>
      <c r="I74" s="25">
        <v>0.7</v>
      </c>
      <c r="J74" s="25" t="s">
        <v>354</v>
      </c>
      <c r="K74" s="25">
        <v>0</v>
      </c>
      <c r="L74" s="26">
        <v>0</v>
      </c>
      <c r="M74" s="26">
        <v>0.28999999999999998</v>
      </c>
      <c r="N74" s="26">
        <v>0.71</v>
      </c>
      <c r="O74" s="26">
        <v>0</v>
      </c>
      <c r="P74" s="25">
        <v>0.7</v>
      </c>
      <c r="Q74" s="27" t="s">
        <v>333</v>
      </c>
      <c r="R74" s="21"/>
      <c r="S74" s="21"/>
      <c r="T74" s="23"/>
      <c r="U74" s="23"/>
      <c r="V74" s="23"/>
      <c r="W74" s="23"/>
      <c r="X74" s="23"/>
      <c r="Y74" s="23"/>
      <c r="Z74" s="23"/>
    </row>
    <row r="75" spans="1:26" ht="22.5" customHeight="1">
      <c r="A75" s="25" t="s">
        <v>355</v>
      </c>
      <c r="B75" s="25" t="s">
        <v>356</v>
      </c>
      <c r="C75" s="25" t="s">
        <v>182</v>
      </c>
      <c r="D75" s="25" t="s">
        <v>119</v>
      </c>
      <c r="E75" s="25" t="s">
        <v>182</v>
      </c>
      <c r="F75" s="25">
        <v>0</v>
      </c>
      <c r="G75" s="25">
        <v>1</v>
      </c>
      <c r="H75" s="25">
        <v>0.2</v>
      </c>
      <c r="I75" s="25">
        <v>0.5</v>
      </c>
      <c r="J75" s="25" t="s">
        <v>357</v>
      </c>
      <c r="K75" s="25">
        <v>10</v>
      </c>
      <c r="L75" s="26">
        <v>0.08</v>
      </c>
      <c r="M75" s="26">
        <v>0.33</v>
      </c>
      <c r="N75" s="26">
        <v>0.42</v>
      </c>
      <c r="O75" s="26">
        <v>0.17</v>
      </c>
      <c r="P75" s="22">
        <v>1</v>
      </c>
      <c r="Q75" s="27" t="s">
        <v>333</v>
      </c>
      <c r="R75" s="21"/>
      <c r="S75" s="21"/>
      <c r="T75" s="23"/>
      <c r="U75" s="23"/>
      <c r="V75" s="23"/>
      <c r="W75" s="23"/>
      <c r="X75" s="23"/>
      <c r="Y75" s="23"/>
      <c r="Z75" s="23"/>
    </row>
    <row r="76" spans="1:26" ht="22.5" customHeight="1">
      <c r="A76" s="25" t="s">
        <v>358</v>
      </c>
      <c r="B76" s="25" t="s">
        <v>359</v>
      </c>
      <c r="C76" s="25" t="s">
        <v>182</v>
      </c>
      <c r="D76" s="25" t="s">
        <v>119</v>
      </c>
      <c r="E76" s="25" t="s">
        <v>182</v>
      </c>
      <c r="F76" s="25">
        <v>1</v>
      </c>
      <c r="G76" s="25">
        <v>3</v>
      </c>
      <c r="H76" s="25">
        <v>0.4</v>
      </c>
      <c r="I76" s="22">
        <v>1</v>
      </c>
      <c r="J76" s="25" t="s">
        <v>360</v>
      </c>
      <c r="K76" s="25">
        <v>0</v>
      </c>
      <c r="L76" s="26">
        <v>0</v>
      </c>
      <c r="M76" s="26">
        <v>0.25</v>
      </c>
      <c r="N76" s="26">
        <v>0.62</v>
      </c>
      <c r="O76" s="26">
        <v>0.12</v>
      </c>
      <c r="P76" s="25">
        <v>1.3</v>
      </c>
      <c r="Q76" s="27" t="s">
        <v>333</v>
      </c>
      <c r="R76" s="21"/>
      <c r="S76" s="21"/>
      <c r="T76" s="23"/>
      <c r="U76" s="23"/>
      <c r="V76" s="23"/>
      <c r="W76" s="23"/>
      <c r="X76" s="23"/>
      <c r="Y76" s="23"/>
      <c r="Z76" s="23"/>
    </row>
    <row r="77" spans="1:26" ht="22.5" customHeight="1">
      <c r="A77" s="25" t="s">
        <v>361</v>
      </c>
      <c r="B77" s="25" t="s">
        <v>362</v>
      </c>
      <c r="C77" s="25" t="s">
        <v>363</v>
      </c>
      <c r="D77" s="25" t="s">
        <v>119</v>
      </c>
      <c r="E77" s="25" t="s">
        <v>363</v>
      </c>
      <c r="F77" s="25">
        <v>1</v>
      </c>
      <c r="G77" s="25">
        <v>3</v>
      </c>
      <c r="H77" s="25">
        <v>0.5</v>
      </c>
      <c r="I77" s="22">
        <v>1</v>
      </c>
      <c r="J77" s="25" t="s">
        <v>364</v>
      </c>
      <c r="K77" s="25">
        <v>0</v>
      </c>
      <c r="L77" s="26">
        <v>0.4</v>
      </c>
      <c r="M77" s="26">
        <v>0.4</v>
      </c>
      <c r="N77" s="26">
        <v>0</v>
      </c>
      <c r="O77" s="26">
        <v>0.2</v>
      </c>
      <c r="P77" s="25">
        <v>0.9</v>
      </c>
      <c r="Q77" s="27" t="s">
        <v>365</v>
      </c>
      <c r="R77" s="21"/>
      <c r="S77" s="21"/>
      <c r="T77" s="23"/>
      <c r="U77" s="23"/>
      <c r="V77" s="23"/>
      <c r="W77" s="23"/>
      <c r="X77" s="23"/>
      <c r="Y77" s="23"/>
      <c r="Z77" s="23"/>
    </row>
    <row r="78" spans="1:26" ht="22.5" customHeight="1">
      <c r="A78" s="25" t="s">
        <v>366</v>
      </c>
      <c r="B78" s="25" t="s">
        <v>367</v>
      </c>
      <c r="C78" s="25" t="s">
        <v>363</v>
      </c>
      <c r="D78" s="25" t="s">
        <v>122</v>
      </c>
      <c r="E78" s="25" t="s">
        <v>363</v>
      </c>
      <c r="F78" s="25">
        <v>0</v>
      </c>
      <c r="G78" s="25">
        <v>1</v>
      </c>
      <c r="H78" s="25">
        <v>0.4</v>
      </c>
      <c r="I78" s="22">
        <v>1</v>
      </c>
      <c r="J78" s="25" t="s">
        <v>368</v>
      </c>
      <c r="K78" s="25">
        <v>0</v>
      </c>
      <c r="L78" s="26">
        <v>0.1</v>
      </c>
      <c r="M78" s="26">
        <v>0.7</v>
      </c>
      <c r="N78" s="26">
        <v>0</v>
      </c>
      <c r="O78" s="26">
        <v>0.2</v>
      </c>
      <c r="P78" s="25">
        <v>1.1000000000000001</v>
      </c>
      <c r="Q78" s="27" t="s">
        <v>365</v>
      </c>
      <c r="R78" s="21"/>
      <c r="S78" s="21"/>
      <c r="T78" s="23"/>
      <c r="U78" s="23"/>
      <c r="V78" s="23"/>
      <c r="W78" s="23"/>
      <c r="X78" s="23"/>
      <c r="Y78" s="23"/>
      <c r="Z78" s="23"/>
    </row>
    <row r="79" spans="1:26" ht="22.5" customHeight="1">
      <c r="A79" s="25" t="s">
        <v>369</v>
      </c>
      <c r="B79" s="25" t="s">
        <v>370</v>
      </c>
      <c r="C79" s="25" t="s">
        <v>363</v>
      </c>
      <c r="D79" s="25" t="s">
        <v>119</v>
      </c>
      <c r="E79" s="25" t="s">
        <v>363</v>
      </c>
      <c r="F79" s="25">
        <v>0</v>
      </c>
      <c r="G79" s="25">
        <v>2</v>
      </c>
      <c r="H79" s="25">
        <v>0.5</v>
      </c>
      <c r="I79" s="22">
        <v>1</v>
      </c>
      <c r="J79" s="25" t="s">
        <v>371</v>
      </c>
      <c r="K79" s="25">
        <v>0</v>
      </c>
      <c r="L79" s="26">
        <v>0.3</v>
      </c>
      <c r="M79" s="26">
        <v>0.4</v>
      </c>
      <c r="N79" s="26">
        <v>0</v>
      </c>
      <c r="O79" s="26">
        <v>0.3</v>
      </c>
      <c r="P79" s="25">
        <v>1.3</v>
      </c>
      <c r="Q79" s="27" t="s">
        <v>365</v>
      </c>
      <c r="R79" s="21"/>
      <c r="S79" s="21"/>
      <c r="T79" s="23"/>
      <c r="U79" s="23"/>
      <c r="V79" s="23"/>
      <c r="W79" s="23"/>
      <c r="X79" s="23"/>
      <c r="Y79" s="23"/>
      <c r="Z79" s="23"/>
    </row>
    <row r="80" spans="1:26" ht="22.5" customHeight="1">
      <c r="A80" s="25" t="s">
        <v>372</v>
      </c>
      <c r="B80" s="25" t="s">
        <v>373</v>
      </c>
      <c r="C80" s="25" t="s">
        <v>363</v>
      </c>
      <c r="D80" s="25" t="s">
        <v>122</v>
      </c>
      <c r="E80" s="25" t="s">
        <v>363</v>
      </c>
      <c r="F80" s="25">
        <v>0</v>
      </c>
      <c r="G80" s="25">
        <v>2</v>
      </c>
      <c r="H80" s="25">
        <v>0.3</v>
      </c>
      <c r="I80" s="25">
        <v>0.7</v>
      </c>
      <c r="J80" s="25" t="s">
        <v>374</v>
      </c>
      <c r="K80" s="25">
        <v>0</v>
      </c>
      <c r="L80" s="26">
        <v>0.4</v>
      </c>
      <c r="M80" s="26">
        <v>0.3</v>
      </c>
      <c r="N80" s="26">
        <v>0</v>
      </c>
      <c r="O80" s="26">
        <v>0.3</v>
      </c>
      <c r="P80" s="22">
        <v>1</v>
      </c>
      <c r="Q80" s="27" t="s">
        <v>365</v>
      </c>
      <c r="R80" s="21"/>
      <c r="S80" s="21"/>
      <c r="T80" s="23"/>
      <c r="U80" s="23"/>
      <c r="V80" s="23"/>
      <c r="W80" s="23"/>
      <c r="X80" s="23"/>
      <c r="Y80" s="23"/>
      <c r="Z80" s="23"/>
    </row>
    <row r="81" spans="1:26" ht="22.5" customHeight="1">
      <c r="A81" s="25" t="s">
        <v>375</v>
      </c>
      <c r="B81" s="25" t="s">
        <v>376</v>
      </c>
      <c r="C81" s="25" t="s">
        <v>363</v>
      </c>
      <c r="D81" s="25" t="s">
        <v>122</v>
      </c>
      <c r="E81" s="25" t="s">
        <v>363</v>
      </c>
      <c r="F81" s="25">
        <v>0</v>
      </c>
      <c r="G81" s="25">
        <v>1</v>
      </c>
      <c r="H81" s="25">
        <v>0.2</v>
      </c>
      <c r="I81" s="25">
        <v>0.6</v>
      </c>
      <c r="J81" s="25" t="s">
        <v>377</v>
      </c>
      <c r="K81" s="25">
        <v>0</v>
      </c>
      <c r="L81" s="26">
        <v>0.3</v>
      </c>
      <c r="M81" s="26">
        <v>0.3</v>
      </c>
      <c r="N81" s="26">
        <v>0.1</v>
      </c>
      <c r="O81" s="26">
        <v>0.3</v>
      </c>
      <c r="P81" s="25">
        <v>0.9</v>
      </c>
      <c r="Q81" s="27" t="s">
        <v>365</v>
      </c>
      <c r="R81" s="21"/>
      <c r="S81" s="21"/>
      <c r="T81" s="23"/>
      <c r="U81" s="23"/>
      <c r="V81" s="23"/>
      <c r="W81" s="23"/>
      <c r="X81" s="23"/>
      <c r="Y81" s="23"/>
      <c r="Z81" s="23"/>
    </row>
    <row r="82" spans="1:26" ht="22.5" customHeight="1">
      <c r="A82" s="25" t="s">
        <v>378</v>
      </c>
      <c r="B82" s="25" t="s">
        <v>379</v>
      </c>
      <c r="C82" s="25" t="s">
        <v>363</v>
      </c>
      <c r="D82" s="25" t="s">
        <v>119</v>
      </c>
      <c r="E82" s="25" t="s">
        <v>363</v>
      </c>
      <c r="F82" s="25">
        <v>1</v>
      </c>
      <c r="G82" s="25">
        <v>3</v>
      </c>
      <c r="H82" s="25">
        <v>0.6</v>
      </c>
      <c r="I82" s="25">
        <v>1.5</v>
      </c>
      <c r="J82" s="25" t="s">
        <v>380</v>
      </c>
      <c r="K82" s="25">
        <v>0</v>
      </c>
      <c r="L82" s="26">
        <v>0.2</v>
      </c>
      <c r="M82" s="26">
        <v>0.5</v>
      </c>
      <c r="N82" s="26">
        <v>0</v>
      </c>
      <c r="O82" s="26">
        <v>0.3</v>
      </c>
      <c r="P82" s="25">
        <v>1.1000000000000001</v>
      </c>
      <c r="Q82" s="27" t="s">
        <v>365</v>
      </c>
      <c r="R82" s="21"/>
      <c r="S82" s="21"/>
      <c r="T82" s="23"/>
      <c r="U82" s="23"/>
      <c r="V82" s="23"/>
      <c r="W82" s="23"/>
      <c r="X82" s="23"/>
      <c r="Y82" s="23"/>
      <c r="Z82" s="23"/>
    </row>
    <row r="83" spans="1:26" ht="22.5" customHeight="1">
      <c r="A83" s="25" t="s">
        <v>381</v>
      </c>
      <c r="B83" s="25" t="s">
        <v>185</v>
      </c>
      <c r="C83" s="25" t="s">
        <v>182</v>
      </c>
      <c r="D83" s="25" t="s">
        <v>122</v>
      </c>
      <c r="E83" s="25" t="s">
        <v>186</v>
      </c>
      <c r="F83" s="25">
        <v>1</v>
      </c>
      <c r="G83" s="25">
        <v>2</v>
      </c>
      <c r="H83" s="25">
        <v>-0.4</v>
      </c>
      <c r="I83" s="25">
        <v>1.1000000000000001</v>
      </c>
      <c r="J83" s="25" t="s">
        <v>187</v>
      </c>
      <c r="K83" s="25">
        <v>60</v>
      </c>
      <c r="L83" s="26">
        <v>0.2</v>
      </c>
      <c r="M83" s="26">
        <v>0.1</v>
      </c>
      <c r="N83" s="26">
        <v>0.6</v>
      </c>
      <c r="O83" s="26">
        <v>0.1</v>
      </c>
      <c r="P83" s="25">
        <v>1.2</v>
      </c>
      <c r="Q83" s="27" t="s">
        <v>382</v>
      </c>
      <c r="R83" s="21"/>
      <c r="S83" s="21"/>
      <c r="T83" s="23"/>
      <c r="U83" s="23"/>
      <c r="V83" s="23"/>
      <c r="W83" s="23"/>
      <c r="X83" s="23"/>
      <c r="Y83" s="23"/>
      <c r="Z83" s="23"/>
    </row>
    <row r="84" spans="1:26" ht="22.5" customHeight="1">
      <c r="A84" s="25" t="s">
        <v>383</v>
      </c>
      <c r="B84" s="25" t="s">
        <v>384</v>
      </c>
      <c r="C84" s="25" t="s">
        <v>186</v>
      </c>
      <c r="D84" s="25" t="s">
        <v>119</v>
      </c>
      <c r="E84" s="25" t="s">
        <v>186</v>
      </c>
      <c r="F84" s="25">
        <v>1</v>
      </c>
      <c r="G84" s="25">
        <v>2</v>
      </c>
      <c r="H84" s="25">
        <v>0.5</v>
      </c>
      <c r="I84" s="25">
        <v>1.1000000000000001</v>
      </c>
      <c r="J84" s="25" t="s">
        <v>385</v>
      </c>
      <c r="K84" s="25">
        <v>35</v>
      </c>
      <c r="L84" s="26">
        <v>0.12</v>
      </c>
      <c r="M84" s="26">
        <v>0.36</v>
      </c>
      <c r="N84" s="26">
        <v>0.36</v>
      </c>
      <c r="O84" s="26">
        <v>0.17</v>
      </c>
      <c r="P84" s="25">
        <v>1.3</v>
      </c>
      <c r="Q84" s="27" t="s">
        <v>382</v>
      </c>
      <c r="R84" s="21"/>
      <c r="S84" s="21"/>
      <c r="T84" s="23"/>
      <c r="U84" s="23"/>
      <c r="V84" s="23"/>
      <c r="W84" s="23"/>
      <c r="X84" s="23"/>
      <c r="Y84" s="23"/>
      <c r="Z84" s="23"/>
    </row>
    <row r="85" spans="1:26" ht="22.5" customHeight="1">
      <c r="A85" s="25" t="s">
        <v>386</v>
      </c>
      <c r="B85" s="25" t="s">
        <v>387</v>
      </c>
      <c r="C85" s="25" t="s">
        <v>186</v>
      </c>
      <c r="D85" s="25" t="s">
        <v>148</v>
      </c>
      <c r="E85" s="25" t="s">
        <v>186</v>
      </c>
      <c r="F85" s="25">
        <v>0</v>
      </c>
      <c r="G85" s="25">
        <v>1</v>
      </c>
      <c r="H85" s="25">
        <v>0.1</v>
      </c>
      <c r="I85" s="25">
        <v>0.3</v>
      </c>
      <c r="J85" s="25" t="s">
        <v>388</v>
      </c>
      <c r="K85" s="25">
        <v>0</v>
      </c>
      <c r="L85" s="26">
        <v>0</v>
      </c>
      <c r="M85" s="26">
        <v>0.33</v>
      </c>
      <c r="N85" s="26">
        <v>0.33</v>
      </c>
      <c r="O85" s="26">
        <v>0.33</v>
      </c>
      <c r="P85" s="25">
        <v>1.1000000000000001</v>
      </c>
      <c r="Q85" s="27" t="s">
        <v>382</v>
      </c>
      <c r="R85" s="21"/>
      <c r="S85" s="21"/>
      <c r="T85" s="23"/>
      <c r="U85" s="23"/>
      <c r="V85" s="23"/>
      <c r="W85" s="23"/>
      <c r="X85" s="23"/>
      <c r="Y85" s="23"/>
      <c r="Z85" s="23"/>
    </row>
    <row r="86" spans="1:26" ht="22.5" customHeight="1">
      <c r="A86" s="25" t="s">
        <v>389</v>
      </c>
      <c r="B86" s="25" t="s">
        <v>390</v>
      </c>
      <c r="C86" s="25" t="s">
        <v>186</v>
      </c>
      <c r="D86" s="25" t="s">
        <v>122</v>
      </c>
      <c r="E86" s="25" t="s">
        <v>186</v>
      </c>
      <c r="F86" s="25">
        <v>1</v>
      </c>
      <c r="G86" s="25">
        <v>2</v>
      </c>
      <c r="H86" s="25">
        <v>-0.3</v>
      </c>
      <c r="I86" s="25">
        <v>0.8</v>
      </c>
      <c r="J86" s="25" t="s">
        <v>391</v>
      </c>
      <c r="K86" s="25">
        <v>20</v>
      </c>
      <c r="L86" s="26">
        <v>7.0000000000000007E-2</v>
      </c>
      <c r="M86" s="26">
        <v>0.43</v>
      </c>
      <c r="N86" s="26">
        <v>0.36</v>
      </c>
      <c r="O86" s="26">
        <v>0.14000000000000001</v>
      </c>
      <c r="P86" s="25">
        <v>1.2</v>
      </c>
      <c r="Q86" s="27" t="s">
        <v>382</v>
      </c>
      <c r="R86" s="21"/>
      <c r="S86" s="21"/>
      <c r="T86" s="23"/>
      <c r="U86" s="23"/>
      <c r="V86" s="23"/>
      <c r="W86" s="23"/>
      <c r="X86" s="23"/>
      <c r="Y86" s="23"/>
      <c r="Z86" s="23"/>
    </row>
    <row r="87" spans="1:26" ht="22.5" customHeight="1">
      <c r="A87" s="25" t="s">
        <v>392</v>
      </c>
      <c r="B87" s="25" t="s">
        <v>393</v>
      </c>
      <c r="C87" s="25" t="s">
        <v>186</v>
      </c>
      <c r="D87" s="25" t="s">
        <v>122</v>
      </c>
      <c r="E87" s="25" t="s">
        <v>186</v>
      </c>
      <c r="F87" s="25">
        <v>0</v>
      </c>
      <c r="G87" s="25">
        <v>2</v>
      </c>
      <c r="H87" s="25">
        <v>0.2</v>
      </c>
      <c r="I87" s="25">
        <v>0.6</v>
      </c>
      <c r="J87" s="25" t="s">
        <v>394</v>
      </c>
      <c r="K87" s="25">
        <v>10</v>
      </c>
      <c r="L87" s="26">
        <v>0.11</v>
      </c>
      <c r="M87" s="26">
        <v>0.22</v>
      </c>
      <c r="N87" s="26">
        <v>0.44</v>
      </c>
      <c r="O87" s="26">
        <v>0.22</v>
      </c>
      <c r="P87" s="22">
        <v>1</v>
      </c>
      <c r="Q87" s="27" t="s">
        <v>382</v>
      </c>
      <c r="R87" s="21"/>
      <c r="S87" s="21"/>
      <c r="T87" s="23"/>
      <c r="U87" s="23"/>
      <c r="V87" s="23"/>
      <c r="W87" s="23"/>
      <c r="X87" s="23"/>
      <c r="Y87" s="23"/>
      <c r="Z87" s="23"/>
    </row>
    <row r="88" spans="1:26" ht="22.5" customHeight="1">
      <c r="A88" s="25" t="s">
        <v>395</v>
      </c>
      <c r="B88" s="25" t="s">
        <v>396</v>
      </c>
      <c r="C88" s="25" t="s">
        <v>186</v>
      </c>
      <c r="D88" s="25" t="s">
        <v>119</v>
      </c>
      <c r="E88" s="25" t="s">
        <v>186</v>
      </c>
      <c r="F88" s="25">
        <v>1</v>
      </c>
      <c r="G88" s="25">
        <v>3</v>
      </c>
      <c r="H88" s="25">
        <v>0.5</v>
      </c>
      <c r="I88" s="25">
        <v>1.1000000000000001</v>
      </c>
      <c r="J88" s="25" t="s">
        <v>397</v>
      </c>
      <c r="K88" s="25">
        <v>30</v>
      </c>
      <c r="L88" s="26">
        <v>0.13</v>
      </c>
      <c r="M88" s="26">
        <v>0.4</v>
      </c>
      <c r="N88" s="26">
        <v>0.3</v>
      </c>
      <c r="O88" s="26">
        <v>0.17</v>
      </c>
      <c r="P88" s="25">
        <v>1.4</v>
      </c>
      <c r="Q88" s="27" t="s">
        <v>382</v>
      </c>
      <c r="R88" s="21"/>
      <c r="S88" s="21"/>
      <c r="T88" s="23"/>
      <c r="U88" s="23"/>
      <c r="V88" s="23"/>
      <c r="W88" s="23"/>
      <c r="X88" s="23"/>
      <c r="Y88" s="23"/>
      <c r="Z88" s="23"/>
    </row>
    <row r="89" spans="1:26" ht="22.5" customHeight="1">
      <c r="A89" s="25" t="s">
        <v>398</v>
      </c>
      <c r="B89" s="25" t="s">
        <v>399</v>
      </c>
      <c r="C89" s="25" t="s">
        <v>186</v>
      </c>
      <c r="D89" s="25" t="s">
        <v>119</v>
      </c>
      <c r="E89" s="25" t="s">
        <v>186</v>
      </c>
      <c r="F89" s="25">
        <v>1</v>
      </c>
      <c r="G89" s="25">
        <v>2</v>
      </c>
      <c r="H89" s="25">
        <v>0.4</v>
      </c>
      <c r="I89" s="25">
        <v>0.8</v>
      </c>
      <c r="J89" s="25" t="s">
        <v>400</v>
      </c>
      <c r="K89" s="25">
        <v>25</v>
      </c>
      <c r="L89" s="26">
        <v>0.12</v>
      </c>
      <c r="M89" s="26">
        <v>0.41</v>
      </c>
      <c r="N89" s="26">
        <v>0.28999999999999998</v>
      </c>
      <c r="O89" s="26">
        <v>0.18</v>
      </c>
      <c r="P89" s="25">
        <v>1.3</v>
      </c>
      <c r="Q89" s="27" t="s">
        <v>382</v>
      </c>
      <c r="R89" s="21"/>
      <c r="S89" s="21"/>
      <c r="T89" s="23"/>
      <c r="U89" s="23"/>
      <c r="V89" s="23"/>
      <c r="W89" s="23"/>
      <c r="X89" s="23"/>
      <c r="Y89" s="23"/>
      <c r="Z89" s="23"/>
    </row>
    <row r="90" spans="1:26" ht="22.5" customHeight="1">
      <c r="A90" s="25" t="s">
        <v>401</v>
      </c>
      <c r="B90" s="25" t="s">
        <v>402</v>
      </c>
      <c r="C90" s="25" t="s">
        <v>186</v>
      </c>
      <c r="D90" s="25" t="s">
        <v>122</v>
      </c>
      <c r="E90" s="25" t="s">
        <v>186</v>
      </c>
      <c r="F90" s="25">
        <v>1</v>
      </c>
      <c r="G90" s="25">
        <v>2</v>
      </c>
      <c r="H90" s="25">
        <v>0.3</v>
      </c>
      <c r="I90" s="25">
        <v>0.7</v>
      </c>
      <c r="J90" s="25" t="s">
        <v>403</v>
      </c>
      <c r="K90" s="25">
        <v>20</v>
      </c>
      <c r="L90" s="26">
        <v>0.14000000000000001</v>
      </c>
      <c r="M90" s="26">
        <v>0.4</v>
      </c>
      <c r="N90" s="26">
        <v>0.33</v>
      </c>
      <c r="O90" s="26">
        <v>0.14000000000000001</v>
      </c>
      <c r="P90" s="25">
        <v>1.2</v>
      </c>
      <c r="Q90" s="27" t="s">
        <v>382</v>
      </c>
      <c r="R90" s="21"/>
      <c r="S90" s="21"/>
      <c r="T90" s="23"/>
      <c r="U90" s="23"/>
      <c r="V90" s="23"/>
      <c r="W90" s="23"/>
      <c r="X90" s="23"/>
      <c r="Y90" s="23"/>
      <c r="Z90" s="23"/>
    </row>
    <row r="91" spans="1:26" ht="22.5" customHeight="1">
      <c r="A91" s="25" t="s">
        <v>404</v>
      </c>
      <c r="B91" s="25" t="s">
        <v>405</v>
      </c>
      <c r="C91" s="25" t="s">
        <v>186</v>
      </c>
      <c r="D91" s="25" t="s">
        <v>122</v>
      </c>
      <c r="E91" s="25" t="s">
        <v>186</v>
      </c>
      <c r="F91" s="25">
        <v>0</v>
      </c>
      <c r="G91" s="25">
        <v>2</v>
      </c>
      <c r="H91" s="25">
        <v>0.3</v>
      </c>
      <c r="I91" s="25">
        <v>0.8</v>
      </c>
      <c r="J91" s="25" t="s">
        <v>406</v>
      </c>
      <c r="K91" s="25">
        <v>0</v>
      </c>
      <c r="L91" s="26">
        <v>0.14000000000000001</v>
      </c>
      <c r="M91" s="26">
        <v>0.28999999999999998</v>
      </c>
      <c r="N91" s="26">
        <v>0.43</v>
      </c>
      <c r="O91" s="26">
        <v>0.14000000000000001</v>
      </c>
      <c r="P91" s="25">
        <v>1.1000000000000001</v>
      </c>
      <c r="Q91" s="27" t="s">
        <v>382</v>
      </c>
      <c r="R91" s="21"/>
      <c r="S91" s="21"/>
      <c r="T91" s="23"/>
      <c r="U91" s="23"/>
      <c r="V91" s="23"/>
      <c r="W91" s="23"/>
      <c r="X91" s="23"/>
      <c r="Y91" s="23"/>
      <c r="Z91" s="23"/>
    </row>
    <row r="92" spans="1:26" ht="22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9"/>
      <c r="M92" s="29"/>
      <c r="N92" s="29"/>
      <c r="O92" s="29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22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9"/>
      <c r="M93" s="29"/>
      <c r="N93" s="29"/>
      <c r="O93" s="29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22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9"/>
      <c r="M94" s="29"/>
      <c r="N94" s="29"/>
      <c r="O94" s="29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22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9"/>
      <c r="M95" s="29"/>
      <c r="N95" s="29"/>
      <c r="O95" s="29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22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9"/>
      <c r="M96" s="29"/>
      <c r="N96" s="29"/>
      <c r="O96" s="29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22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9"/>
      <c r="M97" s="29"/>
      <c r="N97" s="29"/>
      <c r="O97" s="29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22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9"/>
      <c r="M98" s="29"/>
      <c r="N98" s="29"/>
      <c r="O98" s="29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22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9"/>
      <c r="M99" s="29"/>
      <c r="N99" s="29"/>
      <c r="O99" s="29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22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9"/>
      <c r="M100" s="29"/>
      <c r="N100" s="29"/>
      <c r="O100" s="29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22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9"/>
      <c r="N101" s="29"/>
      <c r="O101" s="29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22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9"/>
      <c r="N102" s="29"/>
      <c r="O102" s="29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22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9"/>
      <c r="N103" s="29"/>
      <c r="O103" s="29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2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9"/>
      <c r="N104" s="29"/>
      <c r="O104" s="29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2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9"/>
      <c r="N105" s="29"/>
      <c r="O105" s="29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9"/>
      <c r="N106" s="29"/>
      <c r="O106" s="29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22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9"/>
      <c r="M107" s="29"/>
      <c r="N107" s="29"/>
      <c r="O107" s="29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22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9"/>
      <c r="M108" s="29"/>
      <c r="N108" s="29"/>
      <c r="O108" s="29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22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9"/>
      <c r="N109" s="29"/>
      <c r="O109" s="29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22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9"/>
      <c r="N110" s="29"/>
      <c r="O110" s="29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22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9"/>
      <c r="N111" s="29"/>
      <c r="O111" s="29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9"/>
      <c r="N112" s="29"/>
      <c r="O112" s="29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22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9"/>
      <c r="N113" s="29"/>
      <c r="O113" s="29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22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9"/>
      <c r="N114" s="29"/>
      <c r="O114" s="29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22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9"/>
      <c r="M115" s="29"/>
      <c r="N115" s="29"/>
      <c r="O115" s="29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22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9"/>
      <c r="M116" s="29"/>
      <c r="N116" s="29"/>
      <c r="O116" s="29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22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9"/>
      <c r="N117" s="29"/>
      <c r="O117" s="29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22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9"/>
      <c r="N118" s="29"/>
      <c r="O118" s="29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22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9"/>
      <c r="N119" s="29"/>
      <c r="O119" s="29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22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9"/>
      <c r="N120" s="29"/>
      <c r="O120" s="29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22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9"/>
      <c r="N121" s="29"/>
      <c r="O121" s="29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22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9"/>
      <c r="N122" s="29"/>
      <c r="O122" s="29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22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9"/>
      <c r="M123" s="29"/>
      <c r="N123" s="29"/>
      <c r="O123" s="29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22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9"/>
      <c r="M124" s="29"/>
      <c r="N124" s="29"/>
      <c r="O124" s="29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22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9"/>
      <c r="N125" s="29"/>
      <c r="O125" s="29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22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9"/>
      <c r="N126" s="29"/>
      <c r="O126" s="29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22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9"/>
      <c r="N127" s="29"/>
      <c r="O127" s="29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22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9"/>
      <c r="N128" s="29"/>
      <c r="O128" s="29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22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9"/>
      <c r="N129" s="29"/>
      <c r="O129" s="29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22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9"/>
      <c r="N130" s="29"/>
      <c r="O130" s="29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22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9"/>
      <c r="M131" s="29"/>
      <c r="N131" s="29"/>
      <c r="O131" s="29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22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9"/>
      <c r="M132" s="29"/>
      <c r="N132" s="29"/>
      <c r="O132" s="29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22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9"/>
      <c r="N133" s="29"/>
      <c r="O133" s="29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22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9"/>
      <c r="N134" s="29"/>
      <c r="O134" s="29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22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9"/>
      <c r="N135" s="29"/>
      <c r="O135" s="29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22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9"/>
      <c r="N136" s="29"/>
      <c r="O136" s="29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22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9"/>
      <c r="N137" s="29"/>
      <c r="O137" s="29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22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9"/>
      <c r="N138" s="29"/>
      <c r="O138" s="29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22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9"/>
      <c r="M139" s="29"/>
      <c r="N139" s="29"/>
      <c r="O139" s="29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22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9"/>
      <c r="M140" s="29"/>
      <c r="N140" s="29"/>
      <c r="O140" s="29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22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9"/>
      <c r="N141" s="29"/>
      <c r="O141" s="29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22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9"/>
      <c r="N142" s="29"/>
      <c r="O142" s="29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22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9"/>
      <c r="N143" s="29"/>
      <c r="O143" s="29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22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9"/>
      <c r="N144" s="29"/>
      <c r="O144" s="29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22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9"/>
      <c r="N145" s="29"/>
      <c r="O145" s="29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22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9"/>
      <c r="N146" s="29"/>
      <c r="O146" s="29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22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9"/>
      <c r="M147" s="29"/>
      <c r="N147" s="29"/>
      <c r="O147" s="29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22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9"/>
      <c r="M148" s="29"/>
      <c r="N148" s="29"/>
      <c r="O148" s="29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22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9"/>
      <c r="M149" s="29"/>
      <c r="N149" s="29"/>
      <c r="O149" s="29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22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9"/>
      <c r="M150" s="29"/>
      <c r="N150" s="29"/>
      <c r="O150" s="29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22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9"/>
      <c r="M151" s="29"/>
      <c r="N151" s="29"/>
      <c r="O151" s="29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22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9"/>
      <c r="M152" s="29"/>
      <c r="N152" s="29"/>
      <c r="O152" s="29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22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9"/>
      <c r="M153" s="29"/>
      <c r="N153" s="29"/>
      <c r="O153" s="29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22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9"/>
      <c r="M154" s="29"/>
      <c r="N154" s="29"/>
      <c r="O154" s="29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22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9"/>
      <c r="M155" s="29"/>
      <c r="N155" s="29"/>
      <c r="O155" s="29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22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9"/>
      <c r="M156" s="29"/>
      <c r="N156" s="29"/>
      <c r="O156" s="29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22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9"/>
      <c r="M157" s="29"/>
      <c r="N157" s="29"/>
      <c r="O157" s="29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22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9"/>
      <c r="M158" s="29"/>
      <c r="N158" s="29"/>
      <c r="O158" s="29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22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9"/>
      <c r="M159" s="29"/>
      <c r="N159" s="29"/>
      <c r="O159" s="29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22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9"/>
      <c r="M160" s="29"/>
      <c r="N160" s="29"/>
      <c r="O160" s="29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22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9"/>
      <c r="M161" s="29"/>
      <c r="N161" s="29"/>
      <c r="O161" s="29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22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9"/>
      <c r="M162" s="29"/>
      <c r="N162" s="29"/>
      <c r="O162" s="29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22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9"/>
      <c r="M163" s="29"/>
      <c r="N163" s="29"/>
      <c r="O163" s="29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22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9"/>
      <c r="M164" s="29"/>
      <c r="N164" s="29"/>
      <c r="O164" s="29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22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9"/>
      <c r="M165" s="29"/>
      <c r="N165" s="29"/>
      <c r="O165" s="29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22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9"/>
      <c r="M166" s="29"/>
      <c r="N166" s="29"/>
      <c r="O166" s="29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22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9"/>
      <c r="M167" s="29"/>
      <c r="N167" s="29"/>
      <c r="O167" s="29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22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9"/>
      <c r="M168" s="29"/>
      <c r="N168" s="29"/>
      <c r="O168" s="29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22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9"/>
      <c r="M169" s="29"/>
      <c r="N169" s="29"/>
      <c r="O169" s="29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22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9"/>
      <c r="M170" s="29"/>
      <c r="N170" s="29"/>
      <c r="O170" s="29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22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9"/>
      <c r="M171" s="29"/>
      <c r="N171" s="29"/>
      <c r="O171" s="29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22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9"/>
      <c r="M172" s="29"/>
      <c r="N172" s="29"/>
      <c r="O172" s="29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22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9"/>
      <c r="M173" s="29"/>
      <c r="N173" s="29"/>
      <c r="O173" s="29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22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9"/>
      <c r="M174" s="29"/>
      <c r="N174" s="29"/>
      <c r="O174" s="29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22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9"/>
      <c r="M175" s="29"/>
      <c r="N175" s="29"/>
      <c r="O175" s="29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22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9"/>
      <c r="M176" s="29"/>
      <c r="N176" s="29"/>
      <c r="O176" s="29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22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9"/>
      <c r="M177" s="29"/>
      <c r="N177" s="29"/>
      <c r="O177" s="29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22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9"/>
      <c r="M178" s="29"/>
      <c r="N178" s="29"/>
      <c r="O178" s="29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22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9"/>
      <c r="M179" s="29"/>
      <c r="N179" s="29"/>
      <c r="O179" s="29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22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9"/>
      <c r="M180" s="29"/>
      <c r="N180" s="29"/>
      <c r="O180" s="29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22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9"/>
      <c r="M181" s="29"/>
      <c r="N181" s="29"/>
      <c r="O181" s="29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22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9"/>
      <c r="M182" s="29"/>
      <c r="N182" s="29"/>
      <c r="O182" s="29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22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9"/>
      <c r="M183" s="29"/>
      <c r="N183" s="29"/>
      <c r="O183" s="29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22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9"/>
      <c r="M184" s="29"/>
      <c r="N184" s="29"/>
      <c r="O184" s="29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22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9"/>
      <c r="M185" s="29"/>
      <c r="N185" s="29"/>
      <c r="O185" s="29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22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9"/>
      <c r="M186" s="29"/>
      <c r="N186" s="29"/>
      <c r="O186" s="29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22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9"/>
      <c r="M187" s="29"/>
      <c r="N187" s="29"/>
      <c r="O187" s="29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22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9"/>
      <c r="M188" s="29"/>
      <c r="N188" s="29"/>
      <c r="O188" s="29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22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9"/>
      <c r="M189" s="29"/>
      <c r="N189" s="29"/>
      <c r="O189" s="29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22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9"/>
      <c r="M190" s="29"/>
      <c r="N190" s="29"/>
      <c r="O190" s="29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22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9"/>
      <c r="M191" s="29"/>
      <c r="N191" s="29"/>
      <c r="O191" s="29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22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9"/>
      <c r="M192" s="29"/>
      <c r="N192" s="29"/>
      <c r="O192" s="29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22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9"/>
      <c r="M193" s="29"/>
      <c r="N193" s="29"/>
      <c r="O193" s="29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22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9"/>
      <c r="M194" s="29"/>
      <c r="N194" s="29"/>
      <c r="O194" s="29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22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9"/>
      <c r="M195" s="29"/>
      <c r="N195" s="29"/>
      <c r="O195" s="29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22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9"/>
      <c r="M196" s="29"/>
      <c r="N196" s="29"/>
      <c r="O196" s="29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22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9"/>
      <c r="M197" s="29"/>
      <c r="N197" s="29"/>
      <c r="O197" s="29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22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9"/>
      <c r="M198" s="29"/>
      <c r="N198" s="29"/>
      <c r="O198" s="29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22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9"/>
      <c r="M199" s="29"/>
      <c r="N199" s="29"/>
      <c r="O199" s="29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22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9"/>
      <c r="M200" s="29"/>
      <c r="N200" s="29"/>
      <c r="O200" s="29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22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9"/>
      <c r="M201" s="29"/>
      <c r="N201" s="29"/>
      <c r="O201" s="29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22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9"/>
      <c r="M202" s="29"/>
      <c r="N202" s="29"/>
      <c r="O202" s="29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22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9"/>
      <c r="M203" s="29"/>
      <c r="N203" s="29"/>
      <c r="O203" s="29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22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9"/>
      <c r="M204" s="29"/>
      <c r="N204" s="29"/>
      <c r="O204" s="29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22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9"/>
      <c r="M205" s="29"/>
      <c r="N205" s="29"/>
      <c r="O205" s="29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22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9"/>
      <c r="M206" s="29"/>
      <c r="N206" s="29"/>
      <c r="O206" s="29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22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9"/>
      <c r="M207" s="29"/>
      <c r="N207" s="29"/>
      <c r="O207" s="29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22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9"/>
      <c r="M208" s="29"/>
      <c r="N208" s="29"/>
      <c r="O208" s="29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22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9"/>
      <c r="M209" s="29"/>
      <c r="N209" s="29"/>
      <c r="O209" s="29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22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9"/>
      <c r="M210" s="29"/>
      <c r="N210" s="29"/>
      <c r="O210" s="29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22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9"/>
      <c r="M211" s="29"/>
      <c r="N211" s="29"/>
      <c r="O211" s="29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22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9"/>
      <c r="M212" s="29"/>
      <c r="N212" s="29"/>
      <c r="O212" s="29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22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9"/>
      <c r="M213" s="29"/>
      <c r="N213" s="29"/>
      <c r="O213" s="29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22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9"/>
      <c r="M214" s="29"/>
      <c r="N214" s="29"/>
      <c r="O214" s="29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22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9"/>
      <c r="M215" s="29"/>
      <c r="N215" s="29"/>
      <c r="O215" s="29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22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9"/>
      <c r="M216" s="29"/>
      <c r="N216" s="29"/>
      <c r="O216" s="29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22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9"/>
      <c r="M217" s="29"/>
      <c r="N217" s="29"/>
      <c r="O217" s="29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22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9"/>
      <c r="M218" s="29"/>
      <c r="N218" s="29"/>
      <c r="O218" s="29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22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9"/>
      <c r="M219" s="29"/>
      <c r="N219" s="29"/>
      <c r="O219" s="29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22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9"/>
      <c r="M220" s="29"/>
      <c r="N220" s="29"/>
      <c r="O220" s="29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22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9"/>
      <c r="M221" s="29"/>
      <c r="N221" s="29"/>
      <c r="O221" s="29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22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9"/>
      <c r="M222" s="29"/>
      <c r="N222" s="29"/>
      <c r="O222" s="29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22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9"/>
      <c r="M223" s="29"/>
      <c r="N223" s="29"/>
      <c r="O223" s="29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22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9"/>
      <c r="M224" s="29"/>
      <c r="N224" s="29"/>
      <c r="O224" s="29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22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9"/>
      <c r="M225" s="29"/>
      <c r="N225" s="29"/>
      <c r="O225" s="29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22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9"/>
      <c r="M226" s="29"/>
      <c r="N226" s="29"/>
      <c r="O226" s="29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22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9"/>
      <c r="M227" s="29"/>
      <c r="N227" s="29"/>
      <c r="O227" s="29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22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9"/>
      <c r="M228" s="29"/>
      <c r="N228" s="29"/>
      <c r="O228" s="29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22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9"/>
      <c r="M229" s="29"/>
      <c r="N229" s="29"/>
      <c r="O229" s="29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22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9"/>
      <c r="M230" s="29"/>
      <c r="N230" s="29"/>
      <c r="O230" s="29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22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9"/>
      <c r="M231" s="29"/>
      <c r="N231" s="29"/>
      <c r="O231" s="29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22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9"/>
      <c r="M232" s="29"/>
      <c r="N232" s="29"/>
      <c r="O232" s="29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22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9"/>
      <c r="M233" s="29"/>
      <c r="N233" s="29"/>
      <c r="O233" s="29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22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9"/>
      <c r="M234" s="29"/>
      <c r="N234" s="29"/>
      <c r="O234" s="29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22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9"/>
      <c r="M235" s="29"/>
      <c r="N235" s="29"/>
      <c r="O235" s="29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22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9"/>
      <c r="M236" s="29"/>
      <c r="N236" s="29"/>
      <c r="O236" s="29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22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9"/>
      <c r="M237" s="29"/>
      <c r="N237" s="29"/>
      <c r="O237" s="29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22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9"/>
      <c r="M238" s="29"/>
      <c r="N238" s="29"/>
      <c r="O238" s="29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22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9"/>
      <c r="M239" s="29"/>
      <c r="N239" s="29"/>
      <c r="O239" s="29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22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9"/>
      <c r="M240" s="29"/>
      <c r="N240" s="29"/>
      <c r="O240" s="29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22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9"/>
      <c r="M241" s="29"/>
      <c r="N241" s="29"/>
      <c r="O241" s="29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22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9"/>
      <c r="M242" s="29"/>
      <c r="N242" s="29"/>
      <c r="O242" s="29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22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9"/>
      <c r="M243" s="29"/>
      <c r="N243" s="29"/>
      <c r="O243" s="29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22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9"/>
      <c r="M244" s="29"/>
      <c r="N244" s="29"/>
      <c r="O244" s="29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22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9"/>
      <c r="M245" s="29"/>
      <c r="N245" s="29"/>
      <c r="O245" s="29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22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9"/>
      <c r="M246" s="29"/>
      <c r="N246" s="29"/>
      <c r="O246" s="29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22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9"/>
      <c r="M247" s="29"/>
      <c r="N247" s="29"/>
      <c r="O247" s="29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22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9"/>
      <c r="M248" s="29"/>
      <c r="N248" s="29"/>
      <c r="O248" s="29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22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9"/>
      <c r="M249" s="29"/>
      <c r="N249" s="29"/>
      <c r="O249" s="29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22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9"/>
      <c r="M250" s="29"/>
      <c r="N250" s="29"/>
      <c r="O250" s="29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22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9"/>
      <c r="M251" s="29"/>
      <c r="N251" s="29"/>
      <c r="O251" s="29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22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9"/>
      <c r="M252" s="29"/>
      <c r="N252" s="29"/>
      <c r="O252" s="29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22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9"/>
      <c r="M253" s="29"/>
      <c r="N253" s="29"/>
      <c r="O253" s="29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22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9"/>
      <c r="M254" s="29"/>
      <c r="N254" s="29"/>
      <c r="O254" s="29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22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9"/>
      <c r="M255" s="29"/>
      <c r="N255" s="29"/>
      <c r="O255" s="29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22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9"/>
      <c r="M256" s="29"/>
      <c r="N256" s="29"/>
      <c r="O256" s="29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22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9"/>
      <c r="M257" s="29"/>
      <c r="N257" s="29"/>
      <c r="O257" s="29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22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9"/>
      <c r="M258" s="29"/>
      <c r="N258" s="29"/>
      <c r="O258" s="29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22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9"/>
      <c r="M259" s="29"/>
      <c r="N259" s="29"/>
      <c r="O259" s="29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22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9"/>
      <c r="M260" s="29"/>
      <c r="N260" s="29"/>
      <c r="O260" s="29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22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9"/>
      <c r="M261" s="29"/>
      <c r="N261" s="29"/>
      <c r="O261" s="29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22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9"/>
      <c r="M262" s="29"/>
      <c r="N262" s="29"/>
      <c r="O262" s="29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22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9"/>
      <c r="M263" s="29"/>
      <c r="N263" s="29"/>
      <c r="O263" s="29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22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9"/>
      <c r="M264" s="29"/>
      <c r="N264" s="29"/>
      <c r="O264" s="29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22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9"/>
      <c r="M265" s="29"/>
      <c r="N265" s="29"/>
      <c r="O265" s="29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22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9"/>
      <c r="M266" s="29"/>
      <c r="N266" s="29"/>
      <c r="O266" s="29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22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9"/>
      <c r="M267" s="29"/>
      <c r="N267" s="29"/>
      <c r="O267" s="29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22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9"/>
      <c r="M268" s="29"/>
      <c r="N268" s="29"/>
      <c r="O268" s="29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22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9"/>
      <c r="M269" s="29"/>
      <c r="N269" s="29"/>
      <c r="O269" s="29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22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9"/>
      <c r="M270" s="29"/>
      <c r="N270" s="29"/>
      <c r="O270" s="29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22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9"/>
      <c r="M271" s="29"/>
      <c r="N271" s="29"/>
      <c r="O271" s="29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22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9"/>
      <c r="M272" s="29"/>
      <c r="N272" s="29"/>
      <c r="O272" s="29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22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9"/>
      <c r="M273" s="29"/>
      <c r="N273" s="29"/>
      <c r="O273" s="29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22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9"/>
      <c r="M274" s="29"/>
      <c r="N274" s="29"/>
      <c r="O274" s="29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22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9"/>
      <c r="M275" s="29"/>
      <c r="N275" s="29"/>
      <c r="O275" s="29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22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9"/>
      <c r="M276" s="29"/>
      <c r="N276" s="29"/>
      <c r="O276" s="29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22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9"/>
      <c r="M277" s="29"/>
      <c r="N277" s="29"/>
      <c r="O277" s="29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22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9"/>
      <c r="M278" s="29"/>
      <c r="N278" s="29"/>
      <c r="O278" s="29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22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9"/>
      <c r="M279" s="29"/>
      <c r="N279" s="29"/>
      <c r="O279" s="29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22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9"/>
      <c r="M280" s="29"/>
      <c r="N280" s="29"/>
      <c r="O280" s="29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22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9"/>
      <c r="M281" s="29"/>
      <c r="N281" s="29"/>
      <c r="O281" s="29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22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9"/>
      <c r="M282" s="29"/>
      <c r="N282" s="29"/>
      <c r="O282" s="29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22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9"/>
      <c r="M283" s="29"/>
      <c r="N283" s="29"/>
      <c r="O283" s="29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22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9"/>
      <c r="M284" s="29"/>
      <c r="N284" s="29"/>
      <c r="O284" s="29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22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9"/>
      <c r="M285" s="29"/>
      <c r="N285" s="29"/>
      <c r="O285" s="29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22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9"/>
      <c r="M286" s="29"/>
      <c r="N286" s="29"/>
      <c r="O286" s="29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22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9"/>
      <c r="M287" s="29"/>
      <c r="N287" s="29"/>
      <c r="O287" s="29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22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9"/>
      <c r="M288" s="29"/>
      <c r="N288" s="29"/>
      <c r="O288" s="29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22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9"/>
      <c r="M289" s="29"/>
      <c r="N289" s="29"/>
      <c r="O289" s="29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22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9"/>
      <c r="M290" s="29"/>
      <c r="N290" s="29"/>
      <c r="O290" s="29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22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9"/>
      <c r="M291" s="29"/>
      <c r="N291" s="29"/>
      <c r="O291" s="29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22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9"/>
      <c r="M292" s="29"/>
      <c r="N292" s="29"/>
      <c r="O292" s="29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22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9"/>
      <c r="M293" s="29"/>
      <c r="N293" s="29"/>
      <c r="O293" s="29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22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9"/>
      <c r="M294" s="29"/>
      <c r="N294" s="29"/>
      <c r="O294" s="29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22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9"/>
      <c r="M295" s="29"/>
      <c r="N295" s="29"/>
      <c r="O295" s="29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22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9"/>
      <c r="M296" s="29"/>
      <c r="N296" s="29"/>
      <c r="O296" s="29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22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9"/>
      <c r="M297" s="29"/>
      <c r="N297" s="29"/>
      <c r="O297" s="29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22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9"/>
      <c r="M298" s="29"/>
      <c r="N298" s="29"/>
      <c r="O298" s="29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22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9"/>
      <c r="M299" s="29"/>
      <c r="N299" s="29"/>
      <c r="O299" s="29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22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9"/>
      <c r="M300" s="29"/>
      <c r="N300" s="29"/>
      <c r="O300" s="29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22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9"/>
      <c r="M301" s="29"/>
      <c r="N301" s="29"/>
      <c r="O301" s="29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22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9"/>
      <c r="M302" s="29"/>
      <c r="N302" s="29"/>
      <c r="O302" s="29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22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9"/>
      <c r="M303" s="29"/>
      <c r="N303" s="29"/>
      <c r="O303" s="29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22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9"/>
      <c r="M304" s="29"/>
      <c r="N304" s="29"/>
      <c r="O304" s="29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22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9"/>
      <c r="M305" s="29"/>
      <c r="N305" s="29"/>
      <c r="O305" s="29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22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9"/>
      <c r="M306" s="29"/>
      <c r="N306" s="29"/>
      <c r="O306" s="29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22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9"/>
      <c r="M307" s="29"/>
      <c r="N307" s="29"/>
      <c r="O307" s="29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22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9"/>
      <c r="M308" s="29"/>
      <c r="N308" s="29"/>
      <c r="O308" s="29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22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9"/>
      <c r="M309" s="29"/>
      <c r="N309" s="29"/>
      <c r="O309" s="29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22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9"/>
      <c r="M310" s="29"/>
      <c r="N310" s="29"/>
      <c r="O310" s="29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22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9"/>
      <c r="M311" s="29"/>
      <c r="N311" s="29"/>
      <c r="O311" s="29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22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9"/>
      <c r="M312" s="29"/>
      <c r="N312" s="29"/>
      <c r="O312" s="29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22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9"/>
      <c r="M313" s="29"/>
      <c r="N313" s="29"/>
      <c r="O313" s="29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22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9"/>
      <c r="M314" s="29"/>
      <c r="N314" s="29"/>
      <c r="O314" s="29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22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9"/>
      <c r="M315" s="29"/>
      <c r="N315" s="29"/>
      <c r="O315" s="29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22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9"/>
      <c r="M316" s="29"/>
      <c r="N316" s="29"/>
      <c r="O316" s="29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22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9"/>
      <c r="M317" s="29"/>
      <c r="N317" s="29"/>
      <c r="O317" s="29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22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9"/>
      <c r="M318" s="29"/>
      <c r="N318" s="29"/>
      <c r="O318" s="29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22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9"/>
      <c r="M319" s="29"/>
      <c r="N319" s="29"/>
      <c r="O319" s="29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22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9"/>
      <c r="M320" s="29"/>
      <c r="N320" s="29"/>
      <c r="O320" s="29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22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9"/>
      <c r="M321" s="29"/>
      <c r="N321" s="29"/>
      <c r="O321" s="29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22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9"/>
      <c r="M322" s="29"/>
      <c r="N322" s="29"/>
      <c r="O322" s="29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22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9"/>
      <c r="M323" s="29"/>
      <c r="N323" s="29"/>
      <c r="O323" s="29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22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9"/>
      <c r="M324" s="29"/>
      <c r="N324" s="29"/>
      <c r="O324" s="29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22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9"/>
      <c r="M325" s="29"/>
      <c r="N325" s="29"/>
      <c r="O325" s="29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22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9"/>
      <c r="M326" s="29"/>
      <c r="N326" s="29"/>
      <c r="O326" s="29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22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9"/>
      <c r="M327" s="29"/>
      <c r="N327" s="29"/>
      <c r="O327" s="29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22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9"/>
      <c r="M328" s="29"/>
      <c r="N328" s="29"/>
      <c r="O328" s="29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22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9"/>
      <c r="M329" s="29"/>
      <c r="N329" s="29"/>
      <c r="O329" s="29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22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9"/>
      <c r="M330" s="29"/>
      <c r="N330" s="29"/>
      <c r="O330" s="29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22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9"/>
      <c r="M331" s="29"/>
      <c r="N331" s="29"/>
      <c r="O331" s="29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22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9"/>
      <c r="M332" s="29"/>
      <c r="N332" s="29"/>
      <c r="O332" s="29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22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9"/>
      <c r="M333" s="29"/>
      <c r="N333" s="29"/>
      <c r="O333" s="29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22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9"/>
      <c r="M334" s="29"/>
      <c r="N334" s="29"/>
      <c r="O334" s="29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22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9"/>
      <c r="M335" s="29"/>
      <c r="N335" s="29"/>
      <c r="O335" s="29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22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9"/>
      <c r="M336" s="29"/>
      <c r="N336" s="29"/>
      <c r="O336" s="29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22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9"/>
      <c r="M337" s="29"/>
      <c r="N337" s="29"/>
      <c r="O337" s="29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22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9"/>
      <c r="M338" s="29"/>
      <c r="N338" s="29"/>
      <c r="O338" s="29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22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9"/>
      <c r="M339" s="29"/>
      <c r="N339" s="29"/>
      <c r="O339" s="29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22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9"/>
      <c r="M340" s="29"/>
      <c r="N340" s="29"/>
      <c r="O340" s="29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22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9"/>
      <c r="M341" s="29"/>
      <c r="N341" s="29"/>
      <c r="O341" s="29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22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9"/>
      <c r="M342" s="29"/>
      <c r="N342" s="29"/>
      <c r="O342" s="29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22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9"/>
      <c r="M343" s="29"/>
      <c r="N343" s="29"/>
      <c r="O343" s="29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22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9"/>
      <c r="M344" s="29"/>
      <c r="N344" s="29"/>
      <c r="O344" s="29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22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9"/>
      <c r="M345" s="29"/>
      <c r="N345" s="29"/>
      <c r="O345" s="29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22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9"/>
      <c r="M346" s="29"/>
      <c r="N346" s="29"/>
      <c r="O346" s="29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22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9"/>
      <c r="M347" s="29"/>
      <c r="N347" s="29"/>
      <c r="O347" s="29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22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9"/>
      <c r="M348" s="29"/>
      <c r="N348" s="29"/>
      <c r="O348" s="29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22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9"/>
      <c r="M349" s="29"/>
      <c r="N349" s="29"/>
      <c r="O349" s="29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22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9"/>
      <c r="M350" s="29"/>
      <c r="N350" s="29"/>
      <c r="O350" s="29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22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9"/>
      <c r="M351" s="29"/>
      <c r="N351" s="29"/>
      <c r="O351" s="29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22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9"/>
      <c r="M352" s="29"/>
      <c r="N352" s="29"/>
      <c r="O352" s="29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22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9"/>
      <c r="M353" s="29"/>
      <c r="N353" s="29"/>
      <c r="O353" s="29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22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9"/>
      <c r="M354" s="29"/>
      <c r="N354" s="29"/>
      <c r="O354" s="29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22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9"/>
      <c r="M355" s="29"/>
      <c r="N355" s="29"/>
      <c r="O355" s="29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22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9"/>
      <c r="M356" s="29"/>
      <c r="N356" s="29"/>
      <c r="O356" s="29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22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9"/>
      <c r="M357" s="29"/>
      <c r="N357" s="29"/>
      <c r="O357" s="29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22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9"/>
      <c r="M358" s="29"/>
      <c r="N358" s="29"/>
      <c r="O358" s="29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22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9"/>
      <c r="M359" s="29"/>
      <c r="N359" s="29"/>
      <c r="O359" s="29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22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9"/>
      <c r="M360" s="29"/>
      <c r="N360" s="29"/>
      <c r="O360" s="29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22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9"/>
      <c r="M361" s="29"/>
      <c r="N361" s="29"/>
      <c r="O361" s="29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22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9"/>
      <c r="M362" s="29"/>
      <c r="N362" s="29"/>
      <c r="O362" s="29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22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9"/>
      <c r="M363" s="29"/>
      <c r="N363" s="29"/>
      <c r="O363" s="29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22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9"/>
      <c r="M364" s="29"/>
      <c r="N364" s="29"/>
      <c r="O364" s="29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22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9"/>
      <c r="M365" s="29"/>
      <c r="N365" s="29"/>
      <c r="O365" s="29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22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9"/>
      <c r="M366" s="29"/>
      <c r="N366" s="29"/>
      <c r="O366" s="29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22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9"/>
      <c r="M367" s="29"/>
      <c r="N367" s="29"/>
      <c r="O367" s="29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22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9"/>
      <c r="M368" s="29"/>
      <c r="N368" s="29"/>
      <c r="O368" s="29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22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9"/>
      <c r="M369" s="29"/>
      <c r="N369" s="29"/>
      <c r="O369" s="29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22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9"/>
      <c r="M370" s="29"/>
      <c r="N370" s="29"/>
      <c r="O370" s="29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22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9"/>
      <c r="M371" s="29"/>
      <c r="N371" s="29"/>
      <c r="O371" s="29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22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9"/>
      <c r="M372" s="29"/>
      <c r="N372" s="29"/>
      <c r="O372" s="29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22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9"/>
      <c r="M373" s="29"/>
      <c r="N373" s="29"/>
      <c r="O373" s="29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22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9"/>
      <c r="M374" s="29"/>
      <c r="N374" s="29"/>
      <c r="O374" s="29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22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9"/>
      <c r="M375" s="29"/>
      <c r="N375" s="29"/>
      <c r="O375" s="29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22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9"/>
      <c r="M376" s="29"/>
      <c r="N376" s="29"/>
      <c r="O376" s="29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22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9"/>
      <c r="M377" s="29"/>
      <c r="N377" s="29"/>
      <c r="O377" s="29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22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9"/>
      <c r="M378" s="29"/>
      <c r="N378" s="29"/>
      <c r="O378" s="29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22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9"/>
      <c r="M379" s="29"/>
      <c r="N379" s="29"/>
      <c r="O379" s="29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22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9"/>
      <c r="M380" s="29"/>
      <c r="N380" s="29"/>
      <c r="O380" s="29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22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9"/>
      <c r="M381" s="29"/>
      <c r="N381" s="29"/>
      <c r="O381" s="29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22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9"/>
      <c r="M382" s="29"/>
      <c r="N382" s="29"/>
      <c r="O382" s="29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22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9"/>
      <c r="M383" s="29"/>
      <c r="N383" s="29"/>
      <c r="O383" s="29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22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9"/>
      <c r="M384" s="29"/>
      <c r="N384" s="29"/>
      <c r="O384" s="29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22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9"/>
      <c r="M385" s="29"/>
      <c r="N385" s="29"/>
      <c r="O385" s="29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22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9"/>
      <c r="M386" s="29"/>
      <c r="N386" s="29"/>
      <c r="O386" s="29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22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9"/>
      <c r="M387" s="29"/>
      <c r="N387" s="29"/>
      <c r="O387" s="29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22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9"/>
      <c r="M388" s="29"/>
      <c r="N388" s="29"/>
      <c r="O388" s="29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22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9"/>
      <c r="M389" s="29"/>
      <c r="N389" s="29"/>
      <c r="O389" s="29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22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9"/>
      <c r="M390" s="29"/>
      <c r="N390" s="29"/>
      <c r="O390" s="29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22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9"/>
      <c r="M391" s="29"/>
      <c r="N391" s="29"/>
      <c r="O391" s="29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22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9"/>
      <c r="M392" s="29"/>
      <c r="N392" s="29"/>
      <c r="O392" s="29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22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9"/>
      <c r="M393" s="29"/>
      <c r="N393" s="29"/>
      <c r="O393" s="29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22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9"/>
      <c r="M394" s="29"/>
      <c r="N394" s="29"/>
      <c r="O394" s="29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22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9"/>
      <c r="M395" s="29"/>
      <c r="N395" s="29"/>
      <c r="O395" s="29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22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9"/>
      <c r="M396" s="29"/>
      <c r="N396" s="29"/>
      <c r="O396" s="29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22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9"/>
      <c r="M397" s="29"/>
      <c r="N397" s="29"/>
      <c r="O397" s="29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22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9"/>
      <c r="M398" s="29"/>
      <c r="N398" s="29"/>
      <c r="O398" s="29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22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9"/>
      <c r="M399" s="29"/>
      <c r="N399" s="29"/>
      <c r="O399" s="29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22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9"/>
      <c r="M400" s="29"/>
      <c r="N400" s="29"/>
      <c r="O400" s="29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22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9"/>
      <c r="M401" s="29"/>
      <c r="N401" s="29"/>
      <c r="O401" s="29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22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9"/>
      <c r="M402" s="29"/>
      <c r="N402" s="29"/>
      <c r="O402" s="29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22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9"/>
      <c r="M403" s="29"/>
      <c r="N403" s="29"/>
      <c r="O403" s="29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22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9"/>
      <c r="M404" s="29"/>
      <c r="N404" s="29"/>
      <c r="O404" s="29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22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9"/>
      <c r="M405" s="29"/>
      <c r="N405" s="29"/>
      <c r="O405" s="29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22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9"/>
      <c r="M406" s="29"/>
      <c r="N406" s="29"/>
      <c r="O406" s="29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22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9"/>
      <c r="M407" s="29"/>
      <c r="N407" s="29"/>
      <c r="O407" s="29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22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9"/>
      <c r="M408" s="29"/>
      <c r="N408" s="29"/>
      <c r="O408" s="29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22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9"/>
      <c r="M409" s="29"/>
      <c r="N409" s="29"/>
      <c r="O409" s="29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22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9"/>
      <c r="M410" s="29"/>
      <c r="N410" s="29"/>
      <c r="O410" s="29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22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9"/>
      <c r="M411" s="29"/>
      <c r="N411" s="29"/>
      <c r="O411" s="29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22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9"/>
      <c r="M412" s="29"/>
      <c r="N412" s="29"/>
      <c r="O412" s="29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22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9"/>
      <c r="M413" s="29"/>
      <c r="N413" s="29"/>
      <c r="O413" s="29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22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9"/>
      <c r="M414" s="29"/>
      <c r="N414" s="29"/>
      <c r="O414" s="29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22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9"/>
      <c r="M415" s="29"/>
      <c r="N415" s="29"/>
      <c r="O415" s="29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22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9"/>
      <c r="M416" s="29"/>
      <c r="N416" s="29"/>
      <c r="O416" s="29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22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9"/>
      <c r="M417" s="29"/>
      <c r="N417" s="29"/>
      <c r="O417" s="29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22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9"/>
      <c r="M418" s="29"/>
      <c r="N418" s="29"/>
      <c r="O418" s="29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22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9"/>
      <c r="M419" s="29"/>
      <c r="N419" s="29"/>
      <c r="O419" s="29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22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9"/>
      <c r="M420" s="29"/>
      <c r="N420" s="29"/>
      <c r="O420" s="29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22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9"/>
      <c r="M421" s="29"/>
      <c r="N421" s="29"/>
      <c r="O421" s="29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22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9"/>
      <c r="M422" s="29"/>
      <c r="N422" s="29"/>
      <c r="O422" s="29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22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9"/>
      <c r="M423" s="29"/>
      <c r="N423" s="29"/>
      <c r="O423" s="29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22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9"/>
      <c r="M424" s="29"/>
      <c r="N424" s="29"/>
      <c r="O424" s="29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22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9"/>
      <c r="M425" s="29"/>
      <c r="N425" s="29"/>
      <c r="O425" s="29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22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9"/>
      <c r="M426" s="29"/>
      <c r="N426" s="29"/>
      <c r="O426" s="29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22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9"/>
      <c r="M427" s="29"/>
      <c r="N427" s="29"/>
      <c r="O427" s="29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22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9"/>
      <c r="M428" s="29"/>
      <c r="N428" s="29"/>
      <c r="O428" s="29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22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9"/>
      <c r="M429" s="29"/>
      <c r="N429" s="29"/>
      <c r="O429" s="29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22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9"/>
      <c r="M430" s="29"/>
      <c r="N430" s="29"/>
      <c r="O430" s="29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22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9"/>
      <c r="M431" s="29"/>
      <c r="N431" s="29"/>
      <c r="O431" s="29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22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9"/>
      <c r="M432" s="29"/>
      <c r="N432" s="29"/>
      <c r="O432" s="29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22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9"/>
      <c r="M433" s="29"/>
      <c r="N433" s="29"/>
      <c r="O433" s="29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22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9"/>
      <c r="M434" s="29"/>
      <c r="N434" s="29"/>
      <c r="O434" s="29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22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9"/>
      <c r="M435" s="29"/>
      <c r="N435" s="29"/>
      <c r="O435" s="29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22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9"/>
      <c r="M436" s="29"/>
      <c r="N436" s="29"/>
      <c r="O436" s="29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22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9"/>
      <c r="M437" s="29"/>
      <c r="N437" s="29"/>
      <c r="O437" s="29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22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9"/>
      <c r="M438" s="29"/>
      <c r="N438" s="29"/>
      <c r="O438" s="29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22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9"/>
      <c r="M439" s="29"/>
      <c r="N439" s="29"/>
      <c r="O439" s="29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22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9"/>
      <c r="M440" s="29"/>
      <c r="N440" s="29"/>
      <c r="O440" s="29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22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9"/>
      <c r="M441" s="29"/>
      <c r="N441" s="29"/>
      <c r="O441" s="29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22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9"/>
      <c r="M442" s="29"/>
      <c r="N442" s="29"/>
      <c r="O442" s="29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22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9"/>
      <c r="M443" s="29"/>
      <c r="N443" s="29"/>
      <c r="O443" s="29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22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9"/>
      <c r="M444" s="29"/>
      <c r="N444" s="29"/>
      <c r="O444" s="29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22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9"/>
      <c r="M445" s="29"/>
      <c r="N445" s="29"/>
      <c r="O445" s="29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22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9"/>
      <c r="M446" s="29"/>
      <c r="N446" s="29"/>
      <c r="O446" s="29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22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9"/>
      <c r="M447" s="29"/>
      <c r="N447" s="29"/>
      <c r="O447" s="29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22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9"/>
      <c r="M448" s="29"/>
      <c r="N448" s="29"/>
      <c r="O448" s="29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22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9"/>
      <c r="M449" s="29"/>
      <c r="N449" s="29"/>
      <c r="O449" s="29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22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9"/>
      <c r="M450" s="29"/>
      <c r="N450" s="29"/>
      <c r="O450" s="29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22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9"/>
      <c r="M451" s="29"/>
      <c r="N451" s="29"/>
      <c r="O451" s="29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22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9"/>
      <c r="M452" s="29"/>
      <c r="N452" s="29"/>
      <c r="O452" s="29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22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9"/>
      <c r="M453" s="29"/>
      <c r="N453" s="29"/>
      <c r="O453" s="29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22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9"/>
      <c r="M454" s="29"/>
      <c r="N454" s="29"/>
      <c r="O454" s="29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22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9"/>
      <c r="M455" s="29"/>
      <c r="N455" s="29"/>
      <c r="O455" s="29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22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9"/>
      <c r="M456" s="29"/>
      <c r="N456" s="29"/>
      <c r="O456" s="29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22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9"/>
      <c r="M457" s="29"/>
      <c r="N457" s="29"/>
      <c r="O457" s="29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22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9"/>
      <c r="M458" s="29"/>
      <c r="N458" s="29"/>
      <c r="O458" s="29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22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9"/>
      <c r="M459" s="29"/>
      <c r="N459" s="29"/>
      <c r="O459" s="29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22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9"/>
      <c r="M460" s="29"/>
      <c r="N460" s="29"/>
      <c r="O460" s="29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22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9"/>
      <c r="M461" s="29"/>
      <c r="N461" s="29"/>
      <c r="O461" s="29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22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9"/>
      <c r="M462" s="29"/>
      <c r="N462" s="29"/>
      <c r="O462" s="29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22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9"/>
      <c r="M463" s="29"/>
      <c r="N463" s="29"/>
      <c r="O463" s="29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22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9"/>
      <c r="M464" s="29"/>
      <c r="N464" s="29"/>
      <c r="O464" s="29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22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9"/>
      <c r="M465" s="29"/>
      <c r="N465" s="29"/>
      <c r="O465" s="29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22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9"/>
      <c r="M466" s="29"/>
      <c r="N466" s="29"/>
      <c r="O466" s="29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22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9"/>
      <c r="M467" s="29"/>
      <c r="N467" s="29"/>
      <c r="O467" s="29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22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9"/>
      <c r="M468" s="29"/>
      <c r="N468" s="29"/>
      <c r="O468" s="29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22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9"/>
      <c r="M469" s="29"/>
      <c r="N469" s="29"/>
      <c r="O469" s="29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22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9"/>
      <c r="M470" s="29"/>
      <c r="N470" s="29"/>
      <c r="O470" s="29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22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9"/>
      <c r="M471" s="29"/>
      <c r="N471" s="29"/>
      <c r="O471" s="29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22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9"/>
      <c r="M472" s="29"/>
      <c r="N472" s="29"/>
      <c r="O472" s="29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22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9"/>
      <c r="M473" s="29"/>
      <c r="N473" s="29"/>
      <c r="O473" s="29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22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9"/>
      <c r="M474" s="29"/>
      <c r="N474" s="29"/>
      <c r="O474" s="29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22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9"/>
      <c r="M475" s="29"/>
      <c r="N475" s="29"/>
      <c r="O475" s="29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22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9"/>
      <c r="M476" s="29"/>
      <c r="N476" s="29"/>
      <c r="O476" s="29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22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9"/>
      <c r="M477" s="29"/>
      <c r="N477" s="29"/>
      <c r="O477" s="29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22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9"/>
      <c r="M478" s="29"/>
      <c r="N478" s="29"/>
      <c r="O478" s="29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22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9"/>
      <c r="M479" s="29"/>
      <c r="N479" s="29"/>
      <c r="O479" s="29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22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9"/>
      <c r="M480" s="29"/>
      <c r="N480" s="29"/>
      <c r="O480" s="29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22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9"/>
      <c r="M481" s="29"/>
      <c r="N481" s="29"/>
      <c r="O481" s="29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22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9"/>
      <c r="M482" s="29"/>
      <c r="N482" s="29"/>
      <c r="O482" s="29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22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9"/>
      <c r="M483" s="29"/>
      <c r="N483" s="29"/>
      <c r="O483" s="29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22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9"/>
      <c r="M484" s="29"/>
      <c r="N484" s="29"/>
      <c r="O484" s="29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22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9"/>
      <c r="M485" s="29"/>
      <c r="N485" s="29"/>
      <c r="O485" s="29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22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9"/>
      <c r="M486" s="29"/>
      <c r="N486" s="29"/>
      <c r="O486" s="29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22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9"/>
      <c r="M487" s="29"/>
      <c r="N487" s="29"/>
      <c r="O487" s="29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22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9"/>
      <c r="M488" s="29"/>
      <c r="N488" s="29"/>
      <c r="O488" s="29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22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9"/>
      <c r="M489" s="29"/>
      <c r="N489" s="29"/>
      <c r="O489" s="29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22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9"/>
      <c r="M490" s="29"/>
      <c r="N490" s="29"/>
      <c r="O490" s="29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22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9"/>
      <c r="M491" s="29"/>
      <c r="N491" s="29"/>
      <c r="O491" s="29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22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9"/>
      <c r="M492" s="29"/>
      <c r="N492" s="29"/>
      <c r="O492" s="29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22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9"/>
      <c r="M493" s="29"/>
      <c r="N493" s="29"/>
      <c r="O493" s="29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22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9"/>
      <c r="M494" s="29"/>
      <c r="N494" s="29"/>
      <c r="O494" s="29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22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9"/>
      <c r="M495" s="29"/>
      <c r="N495" s="29"/>
      <c r="O495" s="29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22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9"/>
      <c r="M496" s="29"/>
      <c r="N496" s="29"/>
      <c r="O496" s="29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22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9"/>
      <c r="M497" s="29"/>
      <c r="N497" s="29"/>
      <c r="O497" s="29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22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9"/>
      <c r="M498" s="29"/>
      <c r="N498" s="29"/>
      <c r="O498" s="29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22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9"/>
      <c r="M499" s="29"/>
      <c r="N499" s="29"/>
      <c r="O499" s="29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22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9"/>
      <c r="M500" s="29"/>
      <c r="N500" s="29"/>
      <c r="O500" s="29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22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9"/>
      <c r="M501" s="29"/>
      <c r="N501" s="29"/>
      <c r="O501" s="29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22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9"/>
      <c r="M502" s="29"/>
      <c r="N502" s="29"/>
      <c r="O502" s="29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22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9"/>
      <c r="M503" s="29"/>
      <c r="N503" s="29"/>
      <c r="O503" s="29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22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9"/>
      <c r="M504" s="29"/>
      <c r="N504" s="29"/>
      <c r="O504" s="29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22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9"/>
      <c r="M505" s="29"/>
      <c r="N505" s="29"/>
      <c r="O505" s="29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22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9"/>
      <c r="M506" s="29"/>
      <c r="N506" s="29"/>
      <c r="O506" s="29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22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9"/>
      <c r="M507" s="29"/>
      <c r="N507" s="29"/>
      <c r="O507" s="29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22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9"/>
      <c r="M508" s="29"/>
      <c r="N508" s="29"/>
      <c r="O508" s="29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22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9"/>
      <c r="M509" s="29"/>
      <c r="N509" s="29"/>
      <c r="O509" s="29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22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9"/>
      <c r="M510" s="29"/>
      <c r="N510" s="29"/>
      <c r="O510" s="29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22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9"/>
      <c r="M511" s="29"/>
      <c r="N511" s="29"/>
      <c r="O511" s="29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22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9"/>
      <c r="M512" s="29"/>
      <c r="N512" s="29"/>
      <c r="O512" s="29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22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9"/>
      <c r="M513" s="29"/>
      <c r="N513" s="29"/>
      <c r="O513" s="29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22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9"/>
      <c r="M514" s="29"/>
      <c r="N514" s="29"/>
      <c r="O514" s="29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22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9"/>
      <c r="M515" s="29"/>
      <c r="N515" s="29"/>
      <c r="O515" s="29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22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9"/>
      <c r="M516" s="29"/>
      <c r="N516" s="29"/>
      <c r="O516" s="29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22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9"/>
      <c r="M517" s="29"/>
      <c r="N517" s="29"/>
      <c r="O517" s="29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22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9"/>
      <c r="M518" s="29"/>
      <c r="N518" s="29"/>
      <c r="O518" s="29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22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9"/>
      <c r="M519" s="29"/>
      <c r="N519" s="29"/>
      <c r="O519" s="29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22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9"/>
      <c r="M520" s="29"/>
      <c r="N520" s="29"/>
      <c r="O520" s="29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22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9"/>
      <c r="M521" s="29"/>
      <c r="N521" s="29"/>
      <c r="O521" s="29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22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9"/>
      <c r="M522" s="29"/>
      <c r="N522" s="29"/>
      <c r="O522" s="29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22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9"/>
      <c r="M523" s="29"/>
      <c r="N523" s="29"/>
      <c r="O523" s="29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22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9"/>
      <c r="M524" s="29"/>
      <c r="N524" s="29"/>
      <c r="O524" s="29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22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9"/>
      <c r="M525" s="29"/>
      <c r="N525" s="29"/>
      <c r="O525" s="29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22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9"/>
      <c r="M526" s="29"/>
      <c r="N526" s="29"/>
      <c r="O526" s="29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22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9"/>
      <c r="M527" s="29"/>
      <c r="N527" s="29"/>
      <c r="O527" s="29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22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9"/>
      <c r="M528" s="29"/>
      <c r="N528" s="29"/>
      <c r="O528" s="29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22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9"/>
      <c r="M529" s="29"/>
      <c r="N529" s="29"/>
      <c r="O529" s="29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22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9"/>
      <c r="M530" s="29"/>
      <c r="N530" s="29"/>
      <c r="O530" s="29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22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9"/>
      <c r="M531" s="29"/>
      <c r="N531" s="29"/>
      <c r="O531" s="29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22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9"/>
      <c r="M532" s="29"/>
      <c r="N532" s="29"/>
      <c r="O532" s="29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22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9"/>
      <c r="M533" s="29"/>
      <c r="N533" s="29"/>
      <c r="O533" s="29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22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9"/>
      <c r="M534" s="29"/>
      <c r="N534" s="29"/>
      <c r="O534" s="29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22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9"/>
      <c r="M535" s="29"/>
      <c r="N535" s="29"/>
      <c r="O535" s="29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22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9"/>
      <c r="M536" s="29"/>
      <c r="N536" s="29"/>
      <c r="O536" s="29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22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9"/>
      <c r="M537" s="29"/>
      <c r="N537" s="29"/>
      <c r="O537" s="29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22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9"/>
      <c r="M538" s="29"/>
      <c r="N538" s="29"/>
      <c r="O538" s="29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22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9"/>
      <c r="M539" s="29"/>
      <c r="N539" s="29"/>
      <c r="O539" s="29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22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9"/>
      <c r="M540" s="29"/>
      <c r="N540" s="29"/>
      <c r="O540" s="29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22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9"/>
      <c r="M541" s="29"/>
      <c r="N541" s="29"/>
      <c r="O541" s="29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22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9"/>
      <c r="M542" s="29"/>
      <c r="N542" s="29"/>
      <c r="O542" s="29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22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9"/>
      <c r="M543" s="29"/>
      <c r="N543" s="29"/>
      <c r="O543" s="29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22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9"/>
      <c r="M544" s="29"/>
      <c r="N544" s="29"/>
      <c r="O544" s="29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22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9"/>
      <c r="M545" s="29"/>
      <c r="N545" s="29"/>
      <c r="O545" s="29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22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9"/>
      <c r="M546" s="29"/>
      <c r="N546" s="29"/>
      <c r="O546" s="29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22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9"/>
      <c r="M547" s="29"/>
      <c r="N547" s="29"/>
      <c r="O547" s="29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22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9"/>
      <c r="M548" s="29"/>
      <c r="N548" s="29"/>
      <c r="O548" s="29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22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9"/>
      <c r="M549" s="29"/>
      <c r="N549" s="29"/>
      <c r="O549" s="29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22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9"/>
      <c r="M550" s="29"/>
      <c r="N550" s="29"/>
      <c r="O550" s="29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22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9"/>
      <c r="M551" s="29"/>
      <c r="N551" s="29"/>
      <c r="O551" s="29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22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9"/>
      <c r="M552" s="29"/>
      <c r="N552" s="29"/>
      <c r="O552" s="29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22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9"/>
      <c r="M553" s="29"/>
      <c r="N553" s="29"/>
      <c r="O553" s="29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22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9"/>
      <c r="M554" s="29"/>
      <c r="N554" s="29"/>
      <c r="O554" s="29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22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9"/>
      <c r="M555" s="29"/>
      <c r="N555" s="29"/>
      <c r="O555" s="29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22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9"/>
      <c r="M556" s="29"/>
      <c r="N556" s="29"/>
      <c r="O556" s="29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22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9"/>
      <c r="M557" s="29"/>
      <c r="N557" s="29"/>
      <c r="O557" s="29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22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9"/>
      <c r="M558" s="29"/>
      <c r="N558" s="29"/>
      <c r="O558" s="29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22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9"/>
      <c r="M559" s="29"/>
      <c r="N559" s="29"/>
      <c r="O559" s="29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22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9"/>
      <c r="M560" s="29"/>
      <c r="N560" s="29"/>
      <c r="O560" s="29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22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9"/>
      <c r="M561" s="29"/>
      <c r="N561" s="29"/>
      <c r="O561" s="29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22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9"/>
      <c r="M562" s="29"/>
      <c r="N562" s="29"/>
      <c r="O562" s="29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22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9"/>
      <c r="M563" s="29"/>
      <c r="N563" s="29"/>
      <c r="O563" s="29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22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9"/>
      <c r="M564" s="29"/>
      <c r="N564" s="29"/>
      <c r="O564" s="29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22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9"/>
      <c r="M565" s="29"/>
      <c r="N565" s="29"/>
      <c r="O565" s="29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22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9"/>
      <c r="M566" s="29"/>
      <c r="N566" s="29"/>
      <c r="O566" s="29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22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9"/>
      <c r="M567" s="29"/>
      <c r="N567" s="29"/>
      <c r="O567" s="29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22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9"/>
      <c r="M568" s="29"/>
      <c r="N568" s="29"/>
      <c r="O568" s="29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22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9"/>
      <c r="M569" s="29"/>
      <c r="N569" s="29"/>
      <c r="O569" s="29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22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9"/>
      <c r="M570" s="29"/>
      <c r="N570" s="29"/>
      <c r="O570" s="29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22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9"/>
      <c r="M571" s="29"/>
      <c r="N571" s="29"/>
      <c r="O571" s="29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22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9"/>
      <c r="M572" s="29"/>
      <c r="N572" s="29"/>
      <c r="O572" s="29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22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9"/>
      <c r="M573" s="29"/>
      <c r="N573" s="29"/>
      <c r="O573" s="29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22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9"/>
      <c r="M574" s="29"/>
      <c r="N574" s="29"/>
      <c r="O574" s="29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22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9"/>
      <c r="M575" s="29"/>
      <c r="N575" s="29"/>
      <c r="O575" s="29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22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9"/>
      <c r="M576" s="29"/>
      <c r="N576" s="29"/>
      <c r="O576" s="29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22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9"/>
      <c r="M577" s="29"/>
      <c r="N577" s="29"/>
      <c r="O577" s="29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22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9"/>
      <c r="M578" s="29"/>
      <c r="N578" s="29"/>
      <c r="O578" s="29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22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9"/>
      <c r="M579" s="29"/>
      <c r="N579" s="29"/>
      <c r="O579" s="29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22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9"/>
      <c r="M580" s="29"/>
      <c r="N580" s="29"/>
      <c r="O580" s="29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22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9"/>
      <c r="M581" s="29"/>
      <c r="N581" s="29"/>
      <c r="O581" s="29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22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9"/>
      <c r="M582" s="29"/>
      <c r="N582" s="29"/>
      <c r="O582" s="29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22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9"/>
      <c r="M583" s="29"/>
      <c r="N583" s="29"/>
      <c r="O583" s="29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22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9"/>
      <c r="M584" s="29"/>
      <c r="N584" s="29"/>
      <c r="O584" s="29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22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9"/>
      <c r="M585" s="29"/>
      <c r="N585" s="29"/>
      <c r="O585" s="29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22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9"/>
      <c r="M586" s="29"/>
      <c r="N586" s="29"/>
      <c r="O586" s="29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22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9"/>
      <c r="M587" s="29"/>
      <c r="N587" s="29"/>
      <c r="O587" s="29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22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9"/>
      <c r="M588" s="29"/>
      <c r="N588" s="29"/>
      <c r="O588" s="29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22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9"/>
      <c r="M589" s="29"/>
      <c r="N589" s="29"/>
      <c r="O589" s="29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22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9"/>
      <c r="M590" s="29"/>
      <c r="N590" s="29"/>
      <c r="O590" s="29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22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9"/>
      <c r="M591" s="29"/>
      <c r="N591" s="29"/>
      <c r="O591" s="29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22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9"/>
      <c r="M592" s="29"/>
      <c r="N592" s="29"/>
      <c r="O592" s="29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22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9"/>
      <c r="M593" s="29"/>
      <c r="N593" s="29"/>
      <c r="O593" s="29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22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9"/>
      <c r="M594" s="29"/>
      <c r="N594" s="29"/>
      <c r="O594" s="29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22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9"/>
      <c r="M595" s="29"/>
      <c r="N595" s="29"/>
      <c r="O595" s="29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22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9"/>
      <c r="M596" s="29"/>
      <c r="N596" s="29"/>
      <c r="O596" s="29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22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9"/>
      <c r="M597" s="29"/>
      <c r="N597" s="29"/>
      <c r="O597" s="29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22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9"/>
      <c r="M598" s="29"/>
      <c r="N598" s="29"/>
      <c r="O598" s="29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22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9"/>
      <c r="M599" s="29"/>
      <c r="N599" s="29"/>
      <c r="O599" s="29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22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9"/>
      <c r="M600" s="29"/>
      <c r="N600" s="29"/>
      <c r="O600" s="29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22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9"/>
      <c r="M601" s="29"/>
      <c r="N601" s="29"/>
      <c r="O601" s="29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22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9"/>
      <c r="M602" s="29"/>
      <c r="N602" s="29"/>
      <c r="O602" s="29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22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9"/>
      <c r="M603" s="29"/>
      <c r="N603" s="29"/>
      <c r="O603" s="29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22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9"/>
      <c r="M604" s="29"/>
      <c r="N604" s="29"/>
      <c r="O604" s="29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22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9"/>
      <c r="M605" s="29"/>
      <c r="N605" s="29"/>
      <c r="O605" s="29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22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9"/>
      <c r="M606" s="29"/>
      <c r="N606" s="29"/>
      <c r="O606" s="29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22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9"/>
      <c r="M607" s="29"/>
      <c r="N607" s="29"/>
      <c r="O607" s="29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22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9"/>
      <c r="M608" s="29"/>
      <c r="N608" s="29"/>
      <c r="O608" s="29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22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9"/>
      <c r="M609" s="29"/>
      <c r="N609" s="29"/>
      <c r="O609" s="29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22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9"/>
      <c r="M610" s="29"/>
      <c r="N610" s="29"/>
      <c r="O610" s="29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22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9"/>
      <c r="M611" s="29"/>
      <c r="N611" s="29"/>
      <c r="O611" s="29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22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9"/>
      <c r="M612" s="29"/>
      <c r="N612" s="29"/>
      <c r="O612" s="29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22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9"/>
      <c r="M613" s="29"/>
      <c r="N613" s="29"/>
      <c r="O613" s="29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22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9"/>
      <c r="M614" s="29"/>
      <c r="N614" s="29"/>
      <c r="O614" s="29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22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9"/>
      <c r="M615" s="29"/>
      <c r="N615" s="29"/>
      <c r="O615" s="29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22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9"/>
      <c r="M616" s="29"/>
      <c r="N616" s="29"/>
      <c r="O616" s="29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22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9"/>
      <c r="M617" s="29"/>
      <c r="N617" s="29"/>
      <c r="O617" s="29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22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9"/>
      <c r="M618" s="29"/>
      <c r="N618" s="29"/>
      <c r="O618" s="29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22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9"/>
      <c r="M619" s="29"/>
      <c r="N619" s="29"/>
      <c r="O619" s="29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22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9"/>
      <c r="M620" s="29"/>
      <c r="N620" s="29"/>
      <c r="O620" s="29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22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9"/>
      <c r="M621" s="29"/>
      <c r="N621" s="29"/>
      <c r="O621" s="29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22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9"/>
      <c r="M622" s="29"/>
      <c r="N622" s="29"/>
      <c r="O622" s="29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22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9"/>
      <c r="M623" s="29"/>
      <c r="N623" s="29"/>
      <c r="O623" s="29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22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9"/>
      <c r="M624" s="29"/>
      <c r="N624" s="29"/>
      <c r="O624" s="29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22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9"/>
      <c r="M625" s="29"/>
      <c r="N625" s="29"/>
      <c r="O625" s="29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22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9"/>
      <c r="M626" s="29"/>
      <c r="N626" s="29"/>
      <c r="O626" s="29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22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9"/>
      <c r="M627" s="29"/>
      <c r="N627" s="29"/>
      <c r="O627" s="29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22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9"/>
      <c r="M628" s="29"/>
      <c r="N628" s="29"/>
      <c r="O628" s="29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22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9"/>
      <c r="M629" s="29"/>
      <c r="N629" s="29"/>
      <c r="O629" s="29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22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9"/>
      <c r="M630" s="29"/>
      <c r="N630" s="29"/>
      <c r="O630" s="29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22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9"/>
      <c r="M631" s="29"/>
      <c r="N631" s="29"/>
      <c r="O631" s="29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22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9"/>
      <c r="M632" s="29"/>
      <c r="N632" s="29"/>
      <c r="O632" s="29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22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9"/>
      <c r="M633" s="29"/>
      <c r="N633" s="29"/>
      <c r="O633" s="29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22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9"/>
      <c r="M634" s="29"/>
      <c r="N634" s="29"/>
      <c r="O634" s="29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22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9"/>
      <c r="M635" s="29"/>
      <c r="N635" s="29"/>
      <c r="O635" s="29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22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9"/>
      <c r="M636" s="29"/>
      <c r="N636" s="29"/>
      <c r="O636" s="29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22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9"/>
      <c r="M637" s="29"/>
      <c r="N637" s="29"/>
      <c r="O637" s="29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22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9"/>
      <c r="M638" s="29"/>
      <c r="N638" s="29"/>
      <c r="O638" s="29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22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9"/>
      <c r="M639" s="29"/>
      <c r="N639" s="29"/>
      <c r="O639" s="29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22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9"/>
      <c r="M640" s="29"/>
      <c r="N640" s="29"/>
      <c r="O640" s="29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22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9"/>
      <c r="M641" s="29"/>
      <c r="N641" s="29"/>
      <c r="O641" s="29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22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9"/>
      <c r="M642" s="29"/>
      <c r="N642" s="29"/>
      <c r="O642" s="29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22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9"/>
      <c r="M643" s="29"/>
      <c r="N643" s="29"/>
      <c r="O643" s="29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22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9"/>
      <c r="M644" s="29"/>
      <c r="N644" s="29"/>
      <c r="O644" s="29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22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9"/>
      <c r="M645" s="29"/>
      <c r="N645" s="29"/>
      <c r="O645" s="29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22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9"/>
      <c r="M646" s="29"/>
      <c r="N646" s="29"/>
      <c r="O646" s="29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22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9"/>
      <c r="M647" s="29"/>
      <c r="N647" s="29"/>
      <c r="O647" s="29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22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9"/>
      <c r="M648" s="29"/>
      <c r="N648" s="29"/>
      <c r="O648" s="29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22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9"/>
      <c r="M649" s="29"/>
      <c r="N649" s="29"/>
      <c r="O649" s="29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22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9"/>
      <c r="M650" s="29"/>
      <c r="N650" s="29"/>
      <c r="O650" s="29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22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9"/>
      <c r="M651" s="29"/>
      <c r="N651" s="29"/>
      <c r="O651" s="29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22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9"/>
      <c r="M652" s="29"/>
      <c r="N652" s="29"/>
      <c r="O652" s="29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22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9"/>
      <c r="M653" s="29"/>
      <c r="N653" s="29"/>
      <c r="O653" s="29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22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9"/>
      <c r="M654" s="29"/>
      <c r="N654" s="29"/>
      <c r="O654" s="29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22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9"/>
      <c r="M655" s="29"/>
      <c r="N655" s="29"/>
      <c r="O655" s="29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22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9"/>
      <c r="M656" s="29"/>
      <c r="N656" s="29"/>
      <c r="O656" s="29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22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9"/>
      <c r="M657" s="29"/>
      <c r="N657" s="29"/>
      <c r="O657" s="29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22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9"/>
      <c r="M658" s="29"/>
      <c r="N658" s="29"/>
      <c r="O658" s="29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22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9"/>
      <c r="M659" s="29"/>
      <c r="N659" s="29"/>
      <c r="O659" s="29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22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9"/>
      <c r="M660" s="29"/>
      <c r="N660" s="29"/>
      <c r="O660" s="29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22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9"/>
      <c r="M661" s="29"/>
      <c r="N661" s="29"/>
      <c r="O661" s="29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22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9"/>
      <c r="M662" s="29"/>
      <c r="N662" s="29"/>
      <c r="O662" s="29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22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9"/>
      <c r="M663" s="29"/>
      <c r="N663" s="29"/>
      <c r="O663" s="29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22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9"/>
      <c r="M664" s="29"/>
      <c r="N664" s="29"/>
      <c r="O664" s="29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22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9"/>
      <c r="M665" s="29"/>
      <c r="N665" s="29"/>
      <c r="O665" s="29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22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9"/>
      <c r="M666" s="29"/>
      <c r="N666" s="29"/>
      <c r="O666" s="29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22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9"/>
      <c r="M667" s="29"/>
      <c r="N667" s="29"/>
      <c r="O667" s="29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22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9"/>
      <c r="M668" s="29"/>
      <c r="N668" s="29"/>
      <c r="O668" s="29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22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9"/>
      <c r="M669" s="29"/>
      <c r="N669" s="29"/>
      <c r="O669" s="29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22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9"/>
      <c r="M670" s="29"/>
      <c r="N670" s="29"/>
      <c r="O670" s="29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22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9"/>
      <c r="M671" s="29"/>
      <c r="N671" s="29"/>
      <c r="O671" s="29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22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9"/>
      <c r="M672" s="29"/>
      <c r="N672" s="29"/>
      <c r="O672" s="29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22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9"/>
      <c r="M673" s="29"/>
      <c r="N673" s="29"/>
      <c r="O673" s="29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22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9"/>
      <c r="M674" s="29"/>
      <c r="N674" s="29"/>
      <c r="O674" s="29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22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9"/>
      <c r="M675" s="29"/>
      <c r="N675" s="29"/>
      <c r="O675" s="29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22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9"/>
      <c r="M676" s="29"/>
      <c r="N676" s="29"/>
      <c r="O676" s="29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22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9"/>
      <c r="M677" s="29"/>
      <c r="N677" s="29"/>
      <c r="O677" s="29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22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9"/>
      <c r="M678" s="29"/>
      <c r="N678" s="29"/>
      <c r="O678" s="29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22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9"/>
      <c r="M679" s="29"/>
      <c r="N679" s="29"/>
      <c r="O679" s="29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22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9"/>
      <c r="M680" s="29"/>
      <c r="N680" s="29"/>
      <c r="O680" s="29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22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9"/>
      <c r="M681" s="29"/>
      <c r="N681" s="29"/>
      <c r="O681" s="29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22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9"/>
      <c r="M682" s="29"/>
      <c r="N682" s="29"/>
      <c r="O682" s="29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22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9"/>
      <c r="M683" s="29"/>
      <c r="N683" s="29"/>
      <c r="O683" s="29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22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9"/>
      <c r="M684" s="29"/>
      <c r="N684" s="29"/>
      <c r="O684" s="29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22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9"/>
      <c r="M685" s="29"/>
      <c r="N685" s="29"/>
      <c r="O685" s="29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22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9"/>
      <c r="M686" s="29"/>
      <c r="N686" s="29"/>
      <c r="O686" s="29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22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9"/>
      <c r="M687" s="29"/>
      <c r="N687" s="29"/>
      <c r="O687" s="29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22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9"/>
      <c r="M688" s="29"/>
      <c r="N688" s="29"/>
      <c r="O688" s="29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22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9"/>
      <c r="M689" s="29"/>
      <c r="N689" s="29"/>
      <c r="O689" s="29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22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9"/>
      <c r="M690" s="29"/>
      <c r="N690" s="29"/>
      <c r="O690" s="29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22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9"/>
      <c r="M691" s="29"/>
      <c r="N691" s="29"/>
      <c r="O691" s="29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22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9"/>
      <c r="M692" s="29"/>
      <c r="N692" s="29"/>
      <c r="O692" s="29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22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9"/>
      <c r="M693" s="29"/>
      <c r="N693" s="29"/>
      <c r="O693" s="29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22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9"/>
      <c r="M694" s="29"/>
      <c r="N694" s="29"/>
      <c r="O694" s="29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22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9"/>
      <c r="M695" s="29"/>
      <c r="N695" s="29"/>
      <c r="O695" s="29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22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9"/>
      <c r="M696" s="29"/>
      <c r="N696" s="29"/>
      <c r="O696" s="29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22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9"/>
      <c r="M697" s="29"/>
      <c r="N697" s="29"/>
      <c r="O697" s="29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22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9"/>
      <c r="M698" s="29"/>
      <c r="N698" s="29"/>
      <c r="O698" s="29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22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9"/>
      <c r="M699" s="29"/>
      <c r="N699" s="29"/>
      <c r="O699" s="29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22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9"/>
      <c r="M700" s="29"/>
      <c r="N700" s="29"/>
      <c r="O700" s="29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22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9"/>
      <c r="M701" s="29"/>
      <c r="N701" s="29"/>
      <c r="O701" s="29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22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9"/>
      <c r="M702" s="29"/>
      <c r="N702" s="29"/>
      <c r="O702" s="29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22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9"/>
      <c r="M703" s="29"/>
      <c r="N703" s="29"/>
      <c r="O703" s="29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22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9"/>
      <c r="M704" s="29"/>
      <c r="N704" s="29"/>
      <c r="O704" s="29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22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9"/>
      <c r="M705" s="29"/>
      <c r="N705" s="29"/>
      <c r="O705" s="29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22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9"/>
      <c r="M706" s="29"/>
      <c r="N706" s="29"/>
      <c r="O706" s="29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22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9"/>
      <c r="M707" s="29"/>
      <c r="N707" s="29"/>
      <c r="O707" s="29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22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9"/>
      <c r="M708" s="29"/>
      <c r="N708" s="29"/>
      <c r="O708" s="29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22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9"/>
      <c r="M709" s="29"/>
      <c r="N709" s="29"/>
      <c r="O709" s="29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22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9"/>
      <c r="M710" s="29"/>
      <c r="N710" s="29"/>
      <c r="O710" s="29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22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9"/>
      <c r="M711" s="29"/>
      <c r="N711" s="29"/>
      <c r="O711" s="29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22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9"/>
      <c r="M712" s="29"/>
      <c r="N712" s="29"/>
      <c r="O712" s="29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22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9"/>
      <c r="M713" s="29"/>
      <c r="N713" s="29"/>
      <c r="O713" s="29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22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9"/>
      <c r="M714" s="29"/>
      <c r="N714" s="29"/>
      <c r="O714" s="29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22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9"/>
      <c r="M715" s="29"/>
      <c r="N715" s="29"/>
      <c r="O715" s="29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22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9"/>
      <c r="M716" s="29"/>
      <c r="N716" s="29"/>
      <c r="O716" s="29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22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9"/>
      <c r="M717" s="29"/>
      <c r="N717" s="29"/>
      <c r="O717" s="29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22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9"/>
      <c r="M718" s="29"/>
      <c r="N718" s="29"/>
      <c r="O718" s="29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22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9"/>
      <c r="M719" s="29"/>
      <c r="N719" s="29"/>
      <c r="O719" s="29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22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9"/>
      <c r="M720" s="29"/>
      <c r="N720" s="29"/>
      <c r="O720" s="29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22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9"/>
      <c r="M721" s="29"/>
      <c r="N721" s="29"/>
      <c r="O721" s="29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22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9"/>
      <c r="M722" s="29"/>
      <c r="N722" s="29"/>
      <c r="O722" s="29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22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9"/>
      <c r="M723" s="29"/>
      <c r="N723" s="29"/>
      <c r="O723" s="29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22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9"/>
      <c r="M724" s="29"/>
      <c r="N724" s="29"/>
      <c r="O724" s="29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22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9"/>
      <c r="M725" s="29"/>
      <c r="N725" s="29"/>
      <c r="O725" s="29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22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9"/>
      <c r="M726" s="29"/>
      <c r="N726" s="29"/>
      <c r="O726" s="29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22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9"/>
      <c r="M727" s="29"/>
      <c r="N727" s="29"/>
      <c r="O727" s="29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22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9"/>
      <c r="M728" s="29"/>
      <c r="N728" s="29"/>
      <c r="O728" s="29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22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9"/>
      <c r="M729" s="29"/>
      <c r="N729" s="29"/>
      <c r="O729" s="29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22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9"/>
      <c r="M730" s="29"/>
      <c r="N730" s="29"/>
      <c r="O730" s="29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22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9"/>
      <c r="M731" s="29"/>
      <c r="N731" s="29"/>
      <c r="O731" s="29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22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9"/>
      <c r="M732" s="29"/>
      <c r="N732" s="29"/>
      <c r="O732" s="29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22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9"/>
      <c r="M733" s="29"/>
      <c r="N733" s="29"/>
      <c r="O733" s="29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22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9"/>
      <c r="M734" s="29"/>
      <c r="N734" s="29"/>
      <c r="O734" s="29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22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9"/>
      <c r="M735" s="29"/>
      <c r="N735" s="29"/>
      <c r="O735" s="29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22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9"/>
      <c r="M736" s="29"/>
      <c r="N736" s="29"/>
      <c r="O736" s="29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22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9"/>
      <c r="M737" s="29"/>
      <c r="N737" s="29"/>
      <c r="O737" s="29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22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9"/>
      <c r="M738" s="29"/>
      <c r="N738" s="29"/>
      <c r="O738" s="29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22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9"/>
      <c r="M739" s="29"/>
      <c r="N739" s="29"/>
      <c r="O739" s="29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22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9"/>
      <c r="M740" s="29"/>
      <c r="N740" s="29"/>
      <c r="O740" s="29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22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9"/>
      <c r="M741" s="29"/>
      <c r="N741" s="29"/>
      <c r="O741" s="29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22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9"/>
      <c r="M742" s="29"/>
      <c r="N742" s="29"/>
      <c r="O742" s="29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22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9"/>
      <c r="M743" s="29"/>
      <c r="N743" s="29"/>
      <c r="O743" s="29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22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9"/>
      <c r="M744" s="29"/>
      <c r="N744" s="29"/>
      <c r="O744" s="29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22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9"/>
      <c r="M745" s="29"/>
      <c r="N745" s="29"/>
      <c r="O745" s="29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22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9"/>
      <c r="M746" s="29"/>
      <c r="N746" s="29"/>
      <c r="O746" s="29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22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9"/>
      <c r="M747" s="29"/>
      <c r="N747" s="29"/>
      <c r="O747" s="29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22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9"/>
      <c r="M748" s="29"/>
      <c r="N748" s="29"/>
      <c r="O748" s="29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22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9"/>
      <c r="M749" s="29"/>
      <c r="N749" s="29"/>
      <c r="O749" s="29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22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9"/>
      <c r="M750" s="29"/>
      <c r="N750" s="29"/>
      <c r="O750" s="29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22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9"/>
      <c r="M751" s="29"/>
      <c r="N751" s="29"/>
      <c r="O751" s="29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22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9"/>
      <c r="M752" s="29"/>
      <c r="N752" s="29"/>
      <c r="O752" s="29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22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9"/>
      <c r="M753" s="29"/>
      <c r="N753" s="29"/>
      <c r="O753" s="29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22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9"/>
      <c r="M754" s="29"/>
      <c r="N754" s="29"/>
      <c r="O754" s="29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22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9"/>
      <c r="M755" s="29"/>
      <c r="N755" s="29"/>
      <c r="O755" s="29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22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9"/>
      <c r="M756" s="29"/>
      <c r="N756" s="29"/>
      <c r="O756" s="29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22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9"/>
      <c r="M757" s="29"/>
      <c r="N757" s="29"/>
      <c r="O757" s="29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22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9"/>
      <c r="M758" s="29"/>
      <c r="N758" s="29"/>
      <c r="O758" s="29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22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9"/>
      <c r="M759" s="29"/>
      <c r="N759" s="29"/>
      <c r="O759" s="29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22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9"/>
      <c r="M760" s="29"/>
      <c r="N760" s="29"/>
      <c r="O760" s="29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22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9"/>
      <c r="M761" s="29"/>
      <c r="N761" s="29"/>
      <c r="O761" s="29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22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9"/>
      <c r="M762" s="29"/>
      <c r="N762" s="29"/>
      <c r="O762" s="29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22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9"/>
      <c r="M763" s="29"/>
      <c r="N763" s="29"/>
      <c r="O763" s="29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22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9"/>
      <c r="M764" s="29"/>
      <c r="N764" s="29"/>
      <c r="O764" s="29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22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9"/>
      <c r="M765" s="29"/>
      <c r="N765" s="29"/>
      <c r="O765" s="29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22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9"/>
      <c r="M766" s="29"/>
      <c r="N766" s="29"/>
      <c r="O766" s="29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22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9"/>
      <c r="M767" s="29"/>
      <c r="N767" s="29"/>
      <c r="O767" s="29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22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9"/>
      <c r="M768" s="29"/>
      <c r="N768" s="29"/>
      <c r="O768" s="29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22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9"/>
      <c r="M769" s="29"/>
      <c r="N769" s="29"/>
      <c r="O769" s="29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22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9"/>
      <c r="M770" s="29"/>
      <c r="N770" s="29"/>
      <c r="O770" s="29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22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9"/>
      <c r="M771" s="29"/>
      <c r="N771" s="29"/>
      <c r="O771" s="29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22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9"/>
      <c r="M772" s="29"/>
      <c r="N772" s="29"/>
      <c r="O772" s="29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22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9"/>
      <c r="M773" s="29"/>
      <c r="N773" s="29"/>
      <c r="O773" s="29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22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9"/>
      <c r="M774" s="29"/>
      <c r="N774" s="29"/>
      <c r="O774" s="29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22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9"/>
      <c r="M775" s="29"/>
      <c r="N775" s="29"/>
      <c r="O775" s="29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22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9"/>
      <c r="M776" s="29"/>
      <c r="N776" s="29"/>
      <c r="O776" s="29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22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9"/>
      <c r="M777" s="29"/>
      <c r="N777" s="29"/>
      <c r="O777" s="29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22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9"/>
      <c r="M778" s="29"/>
      <c r="N778" s="29"/>
      <c r="O778" s="29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22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9"/>
      <c r="M779" s="29"/>
      <c r="N779" s="29"/>
      <c r="O779" s="29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22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9"/>
      <c r="M780" s="29"/>
      <c r="N780" s="29"/>
      <c r="O780" s="29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22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9"/>
      <c r="M781" s="29"/>
      <c r="N781" s="29"/>
      <c r="O781" s="29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22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9"/>
      <c r="M782" s="29"/>
      <c r="N782" s="29"/>
      <c r="O782" s="29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22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9"/>
      <c r="M783" s="29"/>
      <c r="N783" s="29"/>
      <c r="O783" s="29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22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9"/>
      <c r="M784" s="29"/>
      <c r="N784" s="29"/>
      <c r="O784" s="29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22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9"/>
      <c r="M785" s="29"/>
      <c r="N785" s="29"/>
      <c r="O785" s="29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22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9"/>
      <c r="M786" s="29"/>
      <c r="N786" s="29"/>
      <c r="O786" s="29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22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9"/>
      <c r="M787" s="29"/>
      <c r="N787" s="29"/>
      <c r="O787" s="29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22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9"/>
      <c r="M788" s="29"/>
      <c r="N788" s="29"/>
      <c r="O788" s="29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22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9"/>
      <c r="M789" s="29"/>
      <c r="N789" s="29"/>
      <c r="O789" s="29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22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9"/>
      <c r="M790" s="29"/>
      <c r="N790" s="29"/>
      <c r="O790" s="29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22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9"/>
      <c r="M791" s="29"/>
      <c r="N791" s="29"/>
      <c r="O791" s="29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22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9"/>
      <c r="M792" s="29"/>
      <c r="N792" s="29"/>
      <c r="O792" s="29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22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9"/>
      <c r="M793" s="29"/>
      <c r="N793" s="29"/>
      <c r="O793" s="29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22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9"/>
      <c r="M794" s="29"/>
      <c r="N794" s="29"/>
      <c r="O794" s="29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22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9"/>
      <c r="M795" s="29"/>
      <c r="N795" s="29"/>
      <c r="O795" s="29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22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9"/>
      <c r="M796" s="29"/>
      <c r="N796" s="29"/>
      <c r="O796" s="29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22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9"/>
      <c r="M797" s="29"/>
      <c r="N797" s="29"/>
      <c r="O797" s="29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22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9"/>
      <c r="M798" s="29"/>
      <c r="N798" s="29"/>
      <c r="O798" s="29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22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9"/>
      <c r="M799" s="29"/>
      <c r="N799" s="29"/>
      <c r="O799" s="29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22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9"/>
      <c r="M800" s="29"/>
      <c r="N800" s="29"/>
      <c r="O800" s="29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22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9"/>
      <c r="M801" s="29"/>
      <c r="N801" s="29"/>
      <c r="O801" s="29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22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9"/>
      <c r="M802" s="29"/>
      <c r="N802" s="29"/>
      <c r="O802" s="29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22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9"/>
      <c r="M803" s="29"/>
      <c r="N803" s="29"/>
      <c r="O803" s="29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22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9"/>
      <c r="M804" s="29"/>
      <c r="N804" s="29"/>
      <c r="O804" s="29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22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9"/>
      <c r="M805" s="29"/>
      <c r="N805" s="29"/>
      <c r="O805" s="29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22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9"/>
      <c r="M806" s="29"/>
      <c r="N806" s="29"/>
      <c r="O806" s="29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22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9"/>
      <c r="M807" s="29"/>
      <c r="N807" s="29"/>
      <c r="O807" s="29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22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9"/>
      <c r="M808" s="29"/>
      <c r="N808" s="29"/>
      <c r="O808" s="29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22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9"/>
      <c r="M809" s="29"/>
      <c r="N809" s="29"/>
      <c r="O809" s="29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22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9"/>
      <c r="M810" s="29"/>
      <c r="N810" s="29"/>
      <c r="O810" s="29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22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9"/>
      <c r="M811" s="29"/>
      <c r="N811" s="29"/>
      <c r="O811" s="29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22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9"/>
      <c r="M812" s="29"/>
      <c r="N812" s="29"/>
      <c r="O812" s="29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22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9"/>
      <c r="M813" s="29"/>
      <c r="N813" s="29"/>
      <c r="O813" s="29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22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9"/>
      <c r="M814" s="29"/>
      <c r="N814" s="29"/>
      <c r="O814" s="29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22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9"/>
      <c r="M815" s="29"/>
      <c r="N815" s="29"/>
      <c r="O815" s="29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22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9"/>
      <c r="M816" s="29"/>
      <c r="N816" s="29"/>
      <c r="O816" s="29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22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9"/>
      <c r="M817" s="29"/>
      <c r="N817" s="29"/>
      <c r="O817" s="29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22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9"/>
      <c r="M818" s="29"/>
      <c r="N818" s="29"/>
      <c r="O818" s="29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22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9"/>
      <c r="M819" s="29"/>
      <c r="N819" s="29"/>
      <c r="O819" s="29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22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9"/>
      <c r="M820" s="29"/>
      <c r="N820" s="29"/>
      <c r="O820" s="29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22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9"/>
      <c r="M821" s="29"/>
      <c r="N821" s="29"/>
      <c r="O821" s="29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22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9"/>
      <c r="M822" s="29"/>
      <c r="N822" s="29"/>
      <c r="O822" s="29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22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9"/>
      <c r="M823" s="29"/>
      <c r="N823" s="29"/>
      <c r="O823" s="29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22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9"/>
      <c r="M824" s="29"/>
      <c r="N824" s="29"/>
      <c r="O824" s="29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22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9"/>
      <c r="M825" s="29"/>
      <c r="N825" s="29"/>
      <c r="O825" s="29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22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9"/>
      <c r="M826" s="29"/>
      <c r="N826" s="29"/>
      <c r="O826" s="29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22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9"/>
      <c r="M827" s="29"/>
      <c r="N827" s="29"/>
      <c r="O827" s="29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22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9"/>
      <c r="M828" s="29"/>
      <c r="N828" s="29"/>
      <c r="O828" s="29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22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9"/>
      <c r="M829" s="29"/>
      <c r="N829" s="29"/>
      <c r="O829" s="29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22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9"/>
      <c r="M830" s="29"/>
      <c r="N830" s="29"/>
      <c r="O830" s="29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22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9"/>
      <c r="M831" s="29"/>
      <c r="N831" s="29"/>
      <c r="O831" s="29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22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9"/>
      <c r="M832" s="29"/>
      <c r="N832" s="29"/>
      <c r="O832" s="29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22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9"/>
      <c r="M833" s="29"/>
      <c r="N833" s="29"/>
      <c r="O833" s="29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22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9"/>
      <c r="M834" s="29"/>
      <c r="N834" s="29"/>
      <c r="O834" s="29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22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9"/>
      <c r="M835" s="29"/>
      <c r="N835" s="29"/>
      <c r="O835" s="29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22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9"/>
      <c r="M836" s="29"/>
      <c r="N836" s="29"/>
      <c r="O836" s="29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22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9"/>
      <c r="M837" s="29"/>
      <c r="N837" s="29"/>
      <c r="O837" s="29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22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9"/>
      <c r="M838" s="29"/>
      <c r="N838" s="29"/>
      <c r="O838" s="29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22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9"/>
      <c r="M839" s="29"/>
      <c r="N839" s="29"/>
      <c r="O839" s="29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22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9"/>
      <c r="M840" s="29"/>
      <c r="N840" s="29"/>
      <c r="O840" s="29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22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9"/>
      <c r="M841" s="29"/>
      <c r="N841" s="29"/>
      <c r="O841" s="29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22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9"/>
      <c r="M842" s="29"/>
      <c r="N842" s="29"/>
      <c r="O842" s="29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22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9"/>
      <c r="M843" s="29"/>
      <c r="N843" s="29"/>
      <c r="O843" s="29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22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9"/>
      <c r="M844" s="29"/>
      <c r="N844" s="29"/>
      <c r="O844" s="29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22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9"/>
      <c r="M845" s="29"/>
      <c r="N845" s="29"/>
      <c r="O845" s="29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22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9"/>
      <c r="M846" s="29"/>
      <c r="N846" s="29"/>
      <c r="O846" s="29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22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9"/>
      <c r="M847" s="29"/>
      <c r="N847" s="29"/>
      <c r="O847" s="29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22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9"/>
      <c r="M848" s="29"/>
      <c r="N848" s="29"/>
      <c r="O848" s="29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22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9"/>
      <c r="M849" s="29"/>
      <c r="N849" s="29"/>
      <c r="O849" s="29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22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9"/>
      <c r="M850" s="29"/>
      <c r="N850" s="29"/>
      <c r="O850" s="29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22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9"/>
      <c r="M851" s="29"/>
      <c r="N851" s="29"/>
      <c r="O851" s="29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22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9"/>
      <c r="M852" s="29"/>
      <c r="N852" s="29"/>
      <c r="O852" s="29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22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9"/>
      <c r="M853" s="29"/>
      <c r="N853" s="29"/>
      <c r="O853" s="29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22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9"/>
      <c r="M854" s="29"/>
      <c r="N854" s="29"/>
      <c r="O854" s="29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22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9"/>
      <c r="M855" s="29"/>
      <c r="N855" s="29"/>
      <c r="O855" s="29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22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9"/>
      <c r="M856" s="29"/>
      <c r="N856" s="29"/>
      <c r="O856" s="29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22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9"/>
      <c r="M857" s="29"/>
      <c r="N857" s="29"/>
      <c r="O857" s="29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22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9"/>
      <c r="M858" s="29"/>
      <c r="N858" s="29"/>
      <c r="O858" s="29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22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9"/>
      <c r="M859" s="29"/>
      <c r="N859" s="29"/>
      <c r="O859" s="29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22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9"/>
      <c r="M860" s="29"/>
      <c r="N860" s="29"/>
      <c r="O860" s="29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22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9"/>
      <c r="M861" s="29"/>
      <c r="N861" s="29"/>
      <c r="O861" s="29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22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9"/>
      <c r="M862" s="29"/>
      <c r="N862" s="29"/>
      <c r="O862" s="29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22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9"/>
      <c r="M863" s="29"/>
      <c r="N863" s="29"/>
      <c r="O863" s="29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22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9"/>
      <c r="M864" s="29"/>
      <c r="N864" s="29"/>
      <c r="O864" s="29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22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9"/>
      <c r="M865" s="29"/>
      <c r="N865" s="29"/>
      <c r="O865" s="29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22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9"/>
      <c r="M866" s="29"/>
      <c r="N866" s="29"/>
      <c r="O866" s="29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22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9"/>
      <c r="M867" s="29"/>
      <c r="N867" s="29"/>
      <c r="O867" s="29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22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9"/>
      <c r="M868" s="29"/>
      <c r="N868" s="29"/>
      <c r="O868" s="29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22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9"/>
      <c r="M869" s="29"/>
      <c r="N869" s="29"/>
      <c r="O869" s="29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22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9"/>
      <c r="M870" s="29"/>
      <c r="N870" s="29"/>
      <c r="O870" s="29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22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9"/>
      <c r="M871" s="29"/>
      <c r="N871" s="29"/>
      <c r="O871" s="29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22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9"/>
      <c r="M872" s="29"/>
      <c r="N872" s="29"/>
      <c r="O872" s="29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22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9"/>
      <c r="M873" s="29"/>
      <c r="N873" s="29"/>
      <c r="O873" s="29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22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9"/>
      <c r="M874" s="29"/>
      <c r="N874" s="29"/>
      <c r="O874" s="29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22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9"/>
      <c r="M875" s="29"/>
      <c r="N875" s="29"/>
      <c r="O875" s="29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22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9"/>
      <c r="M876" s="29"/>
      <c r="N876" s="29"/>
      <c r="O876" s="29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22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9"/>
      <c r="M877" s="29"/>
      <c r="N877" s="29"/>
      <c r="O877" s="29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22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9"/>
      <c r="M878" s="29"/>
      <c r="N878" s="29"/>
      <c r="O878" s="29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22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9"/>
      <c r="M879" s="29"/>
      <c r="N879" s="29"/>
      <c r="O879" s="29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22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9"/>
      <c r="M880" s="29"/>
      <c r="N880" s="29"/>
      <c r="O880" s="29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22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9"/>
      <c r="M881" s="29"/>
      <c r="N881" s="29"/>
      <c r="O881" s="29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22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9"/>
      <c r="M882" s="29"/>
      <c r="N882" s="29"/>
      <c r="O882" s="29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22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9"/>
      <c r="M883" s="29"/>
      <c r="N883" s="29"/>
      <c r="O883" s="29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22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9"/>
      <c r="M884" s="29"/>
      <c r="N884" s="29"/>
      <c r="O884" s="29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22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9"/>
      <c r="M885" s="29"/>
      <c r="N885" s="29"/>
      <c r="O885" s="29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22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9"/>
      <c r="M886" s="29"/>
      <c r="N886" s="29"/>
      <c r="O886" s="29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22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9"/>
      <c r="M887" s="29"/>
      <c r="N887" s="29"/>
      <c r="O887" s="29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22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9"/>
      <c r="M888" s="29"/>
      <c r="N888" s="29"/>
      <c r="O888" s="29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22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9"/>
      <c r="M889" s="29"/>
      <c r="N889" s="29"/>
      <c r="O889" s="29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22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9"/>
      <c r="M890" s="29"/>
      <c r="N890" s="29"/>
      <c r="O890" s="29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22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9"/>
      <c r="M891" s="29"/>
      <c r="N891" s="29"/>
      <c r="O891" s="29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22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9"/>
      <c r="M892" s="29"/>
      <c r="N892" s="29"/>
      <c r="O892" s="29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22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9"/>
      <c r="M893" s="29"/>
      <c r="N893" s="29"/>
      <c r="O893" s="29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22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9"/>
      <c r="M894" s="29"/>
      <c r="N894" s="29"/>
      <c r="O894" s="29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22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9"/>
      <c r="M895" s="29"/>
      <c r="N895" s="29"/>
      <c r="O895" s="29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22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9"/>
      <c r="M896" s="29"/>
      <c r="N896" s="29"/>
      <c r="O896" s="29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22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9"/>
      <c r="M897" s="29"/>
      <c r="N897" s="29"/>
      <c r="O897" s="29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22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9"/>
      <c r="M898" s="29"/>
      <c r="N898" s="29"/>
      <c r="O898" s="29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22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9"/>
      <c r="M899" s="29"/>
      <c r="N899" s="29"/>
      <c r="O899" s="29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22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9"/>
      <c r="M900" s="29"/>
      <c r="N900" s="29"/>
      <c r="O900" s="29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22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9"/>
      <c r="M901" s="29"/>
      <c r="N901" s="29"/>
      <c r="O901" s="29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22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9"/>
      <c r="M902" s="29"/>
      <c r="N902" s="29"/>
      <c r="O902" s="29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22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9"/>
      <c r="M903" s="29"/>
      <c r="N903" s="29"/>
      <c r="O903" s="29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22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9"/>
      <c r="M904" s="29"/>
      <c r="N904" s="29"/>
      <c r="O904" s="29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22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9"/>
      <c r="M905" s="29"/>
      <c r="N905" s="29"/>
      <c r="O905" s="29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22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9"/>
      <c r="M906" s="29"/>
      <c r="N906" s="29"/>
      <c r="O906" s="29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22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9"/>
      <c r="M907" s="29"/>
      <c r="N907" s="29"/>
      <c r="O907" s="29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22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9"/>
      <c r="M908" s="29"/>
      <c r="N908" s="29"/>
      <c r="O908" s="29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22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9"/>
      <c r="M909" s="29"/>
      <c r="N909" s="29"/>
      <c r="O909" s="29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22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9"/>
      <c r="M910" s="29"/>
      <c r="N910" s="29"/>
      <c r="O910" s="29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</sheetData>
  <phoneticPr fontId="29" type="noConversion"/>
  <dataValidations count="1">
    <dataValidation type="custom" allowBlank="1" showDropDown="1" sqref="L2:O910" xr:uid="{00000000-0002-0000-0300-000000000000}">
      <formula1>AND(ISNUMBER(L2),(NOT(OR(NOT(ISERROR(DATEVALUE(L2))), AND(ISNUMBER(L2), LEFT(CELL("format", L2))="D")))))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91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.42578125" customWidth="1"/>
    <col min="2" max="2" width="25.42578125" customWidth="1"/>
    <col min="3" max="3" width="9.42578125" customWidth="1"/>
    <col min="4" max="4" width="10.42578125" customWidth="1"/>
    <col min="5" max="5" width="9.42578125" customWidth="1"/>
    <col min="6" max="7" width="8.85546875" customWidth="1"/>
    <col min="8" max="8" width="12" customWidth="1"/>
    <col min="9" max="9" width="11.85546875" customWidth="1"/>
    <col min="10" max="10" width="69.7109375" customWidth="1"/>
    <col min="11" max="11" width="13.28515625" customWidth="1"/>
    <col min="12" max="15" width="10.7109375" customWidth="1"/>
    <col min="16" max="16" width="13" customWidth="1"/>
    <col min="17" max="17" width="10" customWidth="1"/>
    <col min="18" max="18" width="8.85546875" customWidth="1"/>
    <col min="19" max="19" width="10.42578125" customWidth="1"/>
    <col min="20" max="25" width="7" hidden="1" customWidth="1"/>
    <col min="26" max="26" width="8.28515625" hidden="1" customWidth="1"/>
  </cols>
  <sheetData>
    <row r="1" spans="1:26" ht="22.5" customHeight="1">
      <c r="A1" s="20" t="s">
        <v>92</v>
      </c>
      <c r="B1" s="20" t="s">
        <v>93</v>
      </c>
      <c r="C1" s="20" t="s">
        <v>94</v>
      </c>
      <c r="D1" s="20" t="s">
        <v>95</v>
      </c>
      <c r="E1" s="20" t="s">
        <v>96</v>
      </c>
      <c r="F1" s="20" t="s">
        <v>97</v>
      </c>
      <c r="G1" s="20" t="s">
        <v>98</v>
      </c>
      <c r="H1" s="20" t="s">
        <v>99</v>
      </c>
      <c r="I1" s="20" t="s">
        <v>100</v>
      </c>
      <c r="J1" s="20" t="s">
        <v>101</v>
      </c>
      <c r="K1" s="20" t="s">
        <v>188</v>
      </c>
      <c r="L1" s="20" t="s">
        <v>407</v>
      </c>
      <c r="M1" s="20" t="s">
        <v>408</v>
      </c>
      <c r="N1" s="20" t="s">
        <v>409</v>
      </c>
      <c r="O1" s="20" t="s">
        <v>410</v>
      </c>
      <c r="P1" s="20" t="s">
        <v>106</v>
      </c>
      <c r="Q1" s="24" t="s">
        <v>107</v>
      </c>
      <c r="R1" s="24" t="s">
        <v>108</v>
      </c>
      <c r="S1" s="24" t="s">
        <v>109</v>
      </c>
      <c r="T1" s="16" t="s">
        <v>110</v>
      </c>
      <c r="U1" s="16" t="s">
        <v>111</v>
      </c>
      <c r="V1" s="16" t="s">
        <v>112</v>
      </c>
      <c r="W1" s="16" t="s">
        <v>113</v>
      </c>
      <c r="X1" s="16" t="s">
        <v>114</v>
      </c>
      <c r="Y1" s="16" t="s">
        <v>115</v>
      </c>
      <c r="Z1" s="16" t="s">
        <v>116</v>
      </c>
    </row>
    <row r="2" spans="1:26" ht="22.5" customHeight="1">
      <c r="A2" s="25" t="s">
        <v>117</v>
      </c>
      <c r="B2" s="25" t="s">
        <v>165</v>
      </c>
      <c r="C2" s="25" t="s">
        <v>189</v>
      </c>
      <c r="D2" s="25" t="s">
        <v>122</v>
      </c>
      <c r="E2" s="25" t="s">
        <v>190</v>
      </c>
      <c r="F2" s="25">
        <v>2</v>
      </c>
      <c r="G2" s="25">
        <v>3</v>
      </c>
      <c r="H2" s="25">
        <v>0.6</v>
      </c>
      <c r="I2" s="22">
        <v>1</v>
      </c>
      <c r="J2" s="25" t="s">
        <v>191</v>
      </c>
      <c r="K2" s="25">
        <v>75</v>
      </c>
      <c r="L2" s="26">
        <v>0.5</v>
      </c>
      <c r="M2" s="26">
        <v>0</v>
      </c>
      <c r="N2" s="26">
        <v>0.25</v>
      </c>
      <c r="O2" s="26">
        <v>0.25</v>
      </c>
      <c r="P2" s="25">
        <v>0.6</v>
      </c>
      <c r="Q2" s="27" t="s">
        <v>192</v>
      </c>
      <c r="R2" s="21"/>
      <c r="S2" s="21"/>
      <c r="T2" s="23"/>
      <c r="U2" s="23"/>
      <c r="V2" s="23"/>
      <c r="W2" s="23"/>
      <c r="X2" s="23"/>
      <c r="Y2" s="23"/>
      <c r="Z2" s="23"/>
    </row>
    <row r="3" spans="1:26" ht="22.5" customHeight="1">
      <c r="A3" s="25" t="s">
        <v>121</v>
      </c>
      <c r="B3" s="25" t="s">
        <v>193</v>
      </c>
      <c r="C3" s="25" t="s">
        <v>189</v>
      </c>
      <c r="D3" s="25" t="s">
        <v>122</v>
      </c>
      <c r="E3" s="25" t="s">
        <v>190</v>
      </c>
      <c r="F3" s="25">
        <v>1</v>
      </c>
      <c r="G3" s="25">
        <v>3</v>
      </c>
      <c r="H3" s="25">
        <v>0.3</v>
      </c>
      <c r="I3" s="25">
        <v>0.8</v>
      </c>
      <c r="J3" s="25" t="s">
        <v>194</v>
      </c>
      <c r="K3" s="25">
        <v>0</v>
      </c>
      <c r="L3" s="26">
        <v>0</v>
      </c>
      <c r="M3" s="26">
        <v>0</v>
      </c>
      <c r="N3" s="26">
        <v>0.67</v>
      </c>
      <c r="O3" s="26">
        <v>0.33</v>
      </c>
      <c r="P3" s="25">
        <v>0.8</v>
      </c>
      <c r="Q3" s="27" t="s">
        <v>192</v>
      </c>
      <c r="R3" s="21"/>
      <c r="S3" s="21"/>
      <c r="T3" s="23"/>
      <c r="U3" s="23"/>
      <c r="V3" s="23"/>
      <c r="W3" s="23"/>
      <c r="X3" s="23"/>
      <c r="Y3" s="23"/>
      <c r="Z3" s="23"/>
    </row>
    <row r="4" spans="1:26" ht="22.5" customHeight="1">
      <c r="A4" s="25" t="s">
        <v>123</v>
      </c>
      <c r="B4" s="25" t="s">
        <v>195</v>
      </c>
      <c r="C4" s="25" t="s">
        <v>189</v>
      </c>
      <c r="D4" s="25" t="s">
        <v>119</v>
      </c>
      <c r="E4" s="25" t="s">
        <v>190</v>
      </c>
      <c r="F4" s="25">
        <v>1</v>
      </c>
      <c r="G4" s="25">
        <v>4</v>
      </c>
      <c r="H4" s="25">
        <v>0.5</v>
      </c>
      <c r="I4" s="25">
        <v>1.2</v>
      </c>
      <c r="J4" s="25" t="s">
        <v>196</v>
      </c>
      <c r="K4" s="25">
        <v>0</v>
      </c>
      <c r="L4" s="26">
        <v>0</v>
      </c>
      <c r="M4" s="26">
        <v>0</v>
      </c>
      <c r="N4" s="26">
        <v>0.5</v>
      </c>
      <c r="O4" s="26">
        <v>0.5</v>
      </c>
      <c r="P4" s="25">
        <v>0.7</v>
      </c>
      <c r="Q4" s="27" t="s">
        <v>192</v>
      </c>
      <c r="R4" s="21"/>
      <c r="S4" s="21"/>
      <c r="T4" s="23"/>
      <c r="U4" s="23"/>
      <c r="V4" s="23"/>
      <c r="W4" s="23"/>
      <c r="X4" s="23"/>
      <c r="Y4" s="23"/>
      <c r="Z4" s="23"/>
    </row>
    <row r="5" spans="1:26" ht="22.5" customHeight="1">
      <c r="A5" s="25" t="s">
        <v>125</v>
      </c>
      <c r="B5" s="25" t="s">
        <v>197</v>
      </c>
      <c r="C5" s="25" t="s">
        <v>189</v>
      </c>
      <c r="D5" s="25" t="s">
        <v>119</v>
      </c>
      <c r="E5" s="25" t="s">
        <v>190</v>
      </c>
      <c r="F5" s="25">
        <v>2</v>
      </c>
      <c r="G5" s="25">
        <v>6</v>
      </c>
      <c r="H5" s="25">
        <v>0.3</v>
      </c>
      <c r="I5" s="22">
        <v>1</v>
      </c>
      <c r="J5" s="25" t="s">
        <v>198</v>
      </c>
      <c r="K5" s="25">
        <v>0</v>
      </c>
      <c r="L5" s="26">
        <v>0.33</v>
      </c>
      <c r="M5" s="26">
        <v>0</v>
      </c>
      <c r="N5" s="26">
        <v>0.33</v>
      </c>
      <c r="O5" s="26">
        <v>0.34</v>
      </c>
      <c r="P5" s="25">
        <v>0.5</v>
      </c>
      <c r="Q5" s="27" t="s">
        <v>192</v>
      </c>
      <c r="R5" s="21"/>
      <c r="S5" s="21"/>
      <c r="T5" s="23"/>
      <c r="U5" s="23"/>
      <c r="V5" s="23"/>
      <c r="W5" s="23"/>
      <c r="X5" s="23"/>
      <c r="Y5" s="23"/>
      <c r="Z5" s="23"/>
    </row>
    <row r="6" spans="1:26" ht="22.5" customHeight="1">
      <c r="A6" s="25" t="s">
        <v>127</v>
      </c>
      <c r="B6" s="25" t="s">
        <v>199</v>
      </c>
      <c r="C6" s="25" t="s">
        <v>189</v>
      </c>
      <c r="D6" s="25" t="s">
        <v>122</v>
      </c>
      <c r="E6" s="25" t="s">
        <v>190</v>
      </c>
      <c r="F6" s="25">
        <v>0</v>
      </c>
      <c r="G6" s="25">
        <v>2</v>
      </c>
      <c r="H6" s="25">
        <v>0.2</v>
      </c>
      <c r="I6" s="25">
        <v>0.6</v>
      </c>
      <c r="J6" s="25" t="s">
        <v>200</v>
      </c>
      <c r="K6" s="25">
        <v>10</v>
      </c>
      <c r="L6" s="26">
        <v>0</v>
      </c>
      <c r="M6" s="26">
        <v>0</v>
      </c>
      <c r="N6" s="26">
        <v>0.5</v>
      </c>
      <c r="O6" s="26">
        <v>0.5</v>
      </c>
      <c r="P6" s="25">
        <v>1.1000000000000001</v>
      </c>
      <c r="Q6" s="27" t="s">
        <v>192</v>
      </c>
      <c r="R6" s="21"/>
      <c r="S6" s="21"/>
      <c r="T6" s="23"/>
      <c r="U6" s="23"/>
      <c r="V6" s="23"/>
      <c r="W6" s="23"/>
      <c r="X6" s="23"/>
      <c r="Y6" s="23"/>
      <c r="Z6" s="23"/>
    </row>
    <row r="7" spans="1:26" ht="22.5" customHeight="1">
      <c r="A7" s="25" t="s">
        <v>130</v>
      </c>
      <c r="B7" s="25" t="s">
        <v>201</v>
      </c>
      <c r="C7" s="25" t="s">
        <v>189</v>
      </c>
      <c r="D7" s="25" t="s">
        <v>122</v>
      </c>
      <c r="E7" s="25" t="s">
        <v>190</v>
      </c>
      <c r="F7" s="25">
        <v>1</v>
      </c>
      <c r="G7" s="25">
        <v>3</v>
      </c>
      <c r="H7" s="25">
        <v>0.3</v>
      </c>
      <c r="I7" s="25">
        <v>0.8</v>
      </c>
      <c r="J7" s="25" t="s">
        <v>202</v>
      </c>
      <c r="K7" s="25">
        <v>0</v>
      </c>
      <c r="L7" s="26">
        <v>0</v>
      </c>
      <c r="M7" s="26">
        <v>0</v>
      </c>
      <c r="N7" s="26">
        <v>0.5</v>
      </c>
      <c r="O7" s="26">
        <v>0.5</v>
      </c>
      <c r="P7" s="22">
        <v>1</v>
      </c>
      <c r="Q7" s="27" t="s">
        <v>192</v>
      </c>
      <c r="R7" s="28"/>
      <c r="S7" s="28"/>
      <c r="T7" s="23"/>
      <c r="U7" s="23"/>
      <c r="V7" s="23"/>
      <c r="W7" s="23"/>
      <c r="X7" s="23"/>
      <c r="Y7" s="23"/>
      <c r="Z7" s="23"/>
    </row>
    <row r="8" spans="1:26" ht="22.5" customHeight="1">
      <c r="A8" s="25" t="s">
        <v>131</v>
      </c>
      <c r="B8" s="25" t="s">
        <v>203</v>
      </c>
      <c r="C8" s="25" t="s">
        <v>189</v>
      </c>
      <c r="D8" s="25" t="s">
        <v>119</v>
      </c>
      <c r="E8" s="25" t="s">
        <v>190</v>
      </c>
      <c r="F8" s="25">
        <v>2</v>
      </c>
      <c r="G8" s="25">
        <v>6</v>
      </c>
      <c r="H8" s="25">
        <v>0.3</v>
      </c>
      <c r="I8" s="22">
        <v>1</v>
      </c>
      <c r="J8" s="25" t="s">
        <v>204</v>
      </c>
      <c r="K8" s="25">
        <v>0</v>
      </c>
      <c r="L8" s="26">
        <v>0.5</v>
      </c>
      <c r="M8" s="26">
        <v>0</v>
      </c>
      <c r="N8" s="26">
        <v>0.5</v>
      </c>
      <c r="O8" s="26">
        <v>0</v>
      </c>
      <c r="P8" s="25">
        <v>0.8</v>
      </c>
      <c r="Q8" s="27" t="s">
        <v>192</v>
      </c>
      <c r="R8" s="28"/>
      <c r="S8" s="28"/>
      <c r="T8" s="23"/>
      <c r="U8" s="23"/>
      <c r="V8" s="23"/>
      <c r="W8" s="23"/>
      <c r="X8" s="23"/>
      <c r="Y8" s="23"/>
      <c r="Z8" s="23"/>
    </row>
    <row r="9" spans="1:26" ht="22.5" customHeight="1">
      <c r="A9" s="25" t="s">
        <v>134</v>
      </c>
      <c r="B9" s="25" t="s">
        <v>205</v>
      </c>
      <c r="C9" s="25" t="s">
        <v>189</v>
      </c>
      <c r="D9" s="25" t="s">
        <v>119</v>
      </c>
      <c r="E9" s="25" t="s">
        <v>190</v>
      </c>
      <c r="F9" s="25">
        <v>2</v>
      </c>
      <c r="G9" s="25">
        <v>4</v>
      </c>
      <c r="H9" s="25">
        <v>0.2</v>
      </c>
      <c r="I9" s="25">
        <v>0.7</v>
      </c>
      <c r="J9" s="25" t="s">
        <v>206</v>
      </c>
      <c r="K9" s="25">
        <v>0</v>
      </c>
      <c r="L9" s="26">
        <v>0</v>
      </c>
      <c r="M9" s="26">
        <v>0</v>
      </c>
      <c r="N9" s="26">
        <v>1</v>
      </c>
      <c r="O9" s="26">
        <v>0</v>
      </c>
      <c r="P9" s="25">
        <v>0.9</v>
      </c>
      <c r="Q9" s="27" t="s">
        <v>192</v>
      </c>
      <c r="R9" s="28"/>
      <c r="S9" s="28"/>
      <c r="T9" s="23"/>
      <c r="U9" s="23"/>
      <c r="V9" s="23"/>
      <c r="W9" s="23"/>
      <c r="X9" s="23"/>
      <c r="Y9" s="23"/>
      <c r="Z9" s="23"/>
    </row>
    <row r="10" spans="1:26" ht="22.5" customHeight="1">
      <c r="A10" s="25" t="s">
        <v>136</v>
      </c>
      <c r="B10" s="25" t="s">
        <v>207</v>
      </c>
      <c r="C10" s="25" t="s">
        <v>189</v>
      </c>
      <c r="D10" s="25" t="s">
        <v>122</v>
      </c>
      <c r="E10" s="25" t="s">
        <v>190</v>
      </c>
      <c r="F10" s="25">
        <v>1</v>
      </c>
      <c r="G10" s="25">
        <v>3</v>
      </c>
      <c r="H10" s="25">
        <v>0.2</v>
      </c>
      <c r="I10" s="25">
        <v>0.6</v>
      </c>
      <c r="J10" s="25" t="s">
        <v>208</v>
      </c>
      <c r="K10" s="25">
        <v>0</v>
      </c>
      <c r="L10" s="26">
        <v>0</v>
      </c>
      <c r="M10" s="26">
        <v>0</v>
      </c>
      <c r="N10" s="26">
        <v>0.5</v>
      </c>
      <c r="O10" s="26">
        <v>0.5</v>
      </c>
      <c r="P10" s="25">
        <v>1.2</v>
      </c>
      <c r="Q10" s="27" t="s">
        <v>192</v>
      </c>
      <c r="R10" s="28"/>
      <c r="S10" s="28"/>
      <c r="T10" s="23"/>
      <c r="U10" s="23"/>
      <c r="V10" s="23"/>
      <c r="W10" s="23"/>
      <c r="X10" s="23"/>
      <c r="Y10" s="23"/>
      <c r="Z10" s="23"/>
    </row>
    <row r="11" spans="1:26" ht="22.5" customHeight="1">
      <c r="A11" s="25" t="s">
        <v>138</v>
      </c>
      <c r="B11" s="25" t="s">
        <v>209</v>
      </c>
      <c r="C11" s="25" t="s">
        <v>189</v>
      </c>
      <c r="D11" s="25" t="s">
        <v>122</v>
      </c>
      <c r="E11" s="25" t="s">
        <v>190</v>
      </c>
      <c r="F11" s="25">
        <v>1</v>
      </c>
      <c r="G11" s="25">
        <v>3</v>
      </c>
      <c r="H11" s="25">
        <v>0.2</v>
      </c>
      <c r="I11" s="25">
        <v>0.6</v>
      </c>
      <c r="J11" s="25" t="s">
        <v>210</v>
      </c>
      <c r="K11" s="25">
        <v>0</v>
      </c>
      <c r="L11" s="26">
        <v>0</v>
      </c>
      <c r="M11" s="26">
        <v>0</v>
      </c>
      <c r="N11" s="26">
        <v>0.5</v>
      </c>
      <c r="O11" s="26">
        <v>0.5</v>
      </c>
      <c r="P11" s="22">
        <v>1</v>
      </c>
      <c r="Q11" s="27" t="s">
        <v>192</v>
      </c>
      <c r="R11" s="28"/>
      <c r="S11" s="28"/>
      <c r="T11" s="23"/>
      <c r="U11" s="23"/>
      <c r="V11" s="23"/>
      <c r="W11" s="23"/>
      <c r="X11" s="23"/>
      <c r="Y11" s="23"/>
      <c r="Z11" s="23"/>
    </row>
    <row r="12" spans="1:26" ht="22.5" customHeight="1">
      <c r="A12" s="25" t="s">
        <v>140</v>
      </c>
      <c r="B12" s="25" t="s">
        <v>211</v>
      </c>
      <c r="C12" s="25" t="s">
        <v>189</v>
      </c>
      <c r="D12" s="25" t="s">
        <v>119</v>
      </c>
      <c r="E12" s="25" t="s">
        <v>190</v>
      </c>
      <c r="F12" s="25">
        <v>3</v>
      </c>
      <c r="G12" s="25">
        <v>6</v>
      </c>
      <c r="H12" s="25">
        <v>0.3</v>
      </c>
      <c r="I12" s="25">
        <v>0.8</v>
      </c>
      <c r="J12" s="25" t="s">
        <v>212</v>
      </c>
      <c r="K12" s="25">
        <v>0</v>
      </c>
      <c r="L12" s="26">
        <v>0</v>
      </c>
      <c r="M12" s="26">
        <v>0</v>
      </c>
      <c r="N12" s="26">
        <v>1</v>
      </c>
      <c r="O12" s="26">
        <v>0</v>
      </c>
      <c r="P12" s="25">
        <v>0.7</v>
      </c>
      <c r="Q12" s="27" t="s">
        <v>192</v>
      </c>
      <c r="R12" s="28"/>
      <c r="S12" s="28"/>
      <c r="T12" s="23"/>
      <c r="U12" s="23"/>
      <c r="V12" s="23"/>
      <c r="W12" s="23"/>
      <c r="X12" s="23"/>
      <c r="Y12" s="23"/>
      <c r="Z12" s="23"/>
    </row>
    <row r="13" spans="1:26" ht="22.5" customHeight="1">
      <c r="A13" s="25" t="s">
        <v>143</v>
      </c>
      <c r="B13" s="25" t="s">
        <v>213</v>
      </c>
      <c r="C13" s="25" t="s">
        <v>161</v>
      </c>
      <c r="D13" s="25" t="s">
        <v>122</v>
      </c>
      <c r="E13" s="25" t="s">
        <v>190</v>
      </c>
      <c r="F13" s="25">
        <v>1</v>
      </c>
      <c r="G13" s="25">
        <v>2</v>
      </c>
      <c r="H13" s="25">
        <v>0.2</v>
      </c>
      <c r="I13" s="25">
        <v>0.6</v>
      </c>
      <c r="J13" s="25" t="s">
        <v>214</v>
      </c>
      <c r="K13" s="25">
        <v>0</v>
      </c>
      <c r="L13" s="26">
        <v>0</v>
      </c>
      <c r="M13" s="26">
        <v>0</v>
      </c>
      <c r="N13" s="26">
        <v>1</v>
      </c>
      <c r="O13" s="26">
        <v>0</v>
      </c>
      <c r="P13" s="25">
        <v>1.1000000000000001</v>
      </c>
      <c r="Q13" s="27" t="s">
        <v>192</v>
      </c>
      <c r="R13" s="28"/>
      <c r="S13" s="28"/>
      <c r="T13" s="23"/>
      <c r="U13" s="23"/>
      <c r="V13" s="23"/>
      <c r="W13" s="23"/>
      <c r="X13" s="23"/>
      <c r="Y13" s="23"/>
      <c r="Z13" s="23"/>
    </row>
    <row r="14" spans="1:26" ht="22.5" customHeight="1">
      <c r="A14" s="25" t="s">
        <v>146</v>
      </c>
      <c r="B14" s="25" t="s">
        <v>215</v>
      </c>
      <c r="C14" s="25" t="s">
        <v>161</v>
      </c>
      <c r="D14" s="25" t="s">
        <v>122</v>
      </c>
      <c r="E14" s="25" t="s">
        <v>190</v>
      </c>
      <c r="F14" s="25">
        <v>0</v>
      </c>
      <c r="G14" s="25">
        <v>1</v>
      </c>
      <c r="H14" s="25">
        <v>0.2</v>
      </c>
      <c r="I14" s="25">
        <v>0.5</v>
      </c>
      <c r="J14" s="25" t="s">
        <v>216</v>
      </c>
      <c r="K14" s="25">
        <v>0</v>
      </c>
      <c r="L14" s="26">
        <v>0</v>
      </c>
      <c r="M14" s="26">
        <v>0</v>
      </c>
      <c r="N14" s="26">
        <v>1</v>
      </c>
      <c r="O14" s="26">
        <v>0</v>
      </c>
      <c r="P14" s="25">
        <v>1.3</v>
      </c>
      <c r="Q14" s="27" t="s">
        <v>192</v>
      </c>
      <c r="R14" s="28"/>
      <c r="S14" s="28"/>
      <c r="T14" s="23"/>
      <c r="U14" s="23"/>
      <c r="V14" s="23"/>
      <c r="W14" s="23"/>
      <c r="X14" s="23"/>
      <c r="Y14" s="23"/>
      <c r="Z14" s="23"/>
    </row>
    <row r="15" spans="1:26" ht="22.5" customHeight="1">
      <c r="A15" s="25" t="s">
        <v>149</v>
      </c>
      <c r="B15" s="25" t="s">
        <v>217</v>
      </c>
      <c r="C15" s="25" t="s">
        <v>161</v>
      </c>
      <c r="D15" s="25" t="s">
        <v>122</v>
      </c>
      <c r="E15" s="25" t="s">
        <v>190</v>
      </c>
      <c r="F15" s="25">
        <v>1</v>
      </c>
      <c r="G15" s="25">
        <v>2</v>
      </c>
      <c r="H15" s="25">
        <v>0.2</v>
      </c>
      <c r="I15" s="25">
        <v>0.7</v>
      </c>
      <c r="J15" s="25" t="s">
        <v>218</v>
      </c>
      <c r="K15" s="25">
        <v>0</v>
      </c>
      <c r="L15" s="26">
        <v>0</v>
      </c>
      <c r="M15" s="26">
        <v>0</v>
      </c>
      <c r="N15" s="26">
        <v>1</v>
      </c>
      <c r="O15" s="26">
        <v>0</v>
      </c>
      <c r="P15" s="22">
        <v>1</v>
      </c>
      <c r="Q15" s="27" t="s">
        <v>192</v>
      </c>
      <c r="R15" s="28"/>
      <c r="S15" s="28"/>
      <c r="T15" s="23"/>
      <c r="U15" s="23"/>
      <c r="V15" s="23"/>
      <c r="W15" s="23"/>
      <c r="X15" s="23"/>
      <c r="Y15" s="23"/>
      <c r="Z15" s="23"/>
    </row>
    <row r="16" spans="1:26" ht="22.5" customHeight="1">
      <c r="A16" s="25" t="s">
        <v>151</v>
      </c>
      <c r="B16" s="25" t="s">
        <v>219</v>
      </c>
      <c r="C16" s="25" t="s">
        <v>189</v>
      </c>
      <c r="D16" s="25" t="s">
        <v>119</v>
      </c>
      <c r="E16" s="25" t="s">
        <v>190</v>
      </c>
      <c r="F16" s="25">
        <v>1</v>
      </c>
      <c r="G16" s="25">
        <v>3</v>
      </c>
      <c r="H16" s="25">
        <v>0.8</v>
      </c>
      <c r="I16" s="25">
        <v>1.5</v>
      </c>
      <c r="J16" s="25" t="s">
        <v>220</v>
      </c>
      <c r="K16" s="25">
        <v>0</v>
      </c>
      <c r="L16" s="26">
        <v>0</v>
      </c>
      <c r="M16" s="26">
        <v>0</v>
      </c>
      <c r="N16" s="26">
        <v>0.4</v>
      </c>
      <c r="O16" s="26">
        <v>0.6</v>
      </c>
      <c r="P16" s="22">
        <v>1</v>
      </c>
      <c r="Q16" s="27" t="s">
        <v>192</v>
      </c>
      <c r="R16" s="21"/>
      <c r="S16" s="21"/>
      <c r="T16" s="23"/>
      <c r="U16" s="23"/>
      <c r="V16" s="23"/>
      <c r="W16" s="23"/>
      <c r="X16" s="23"/>
      <c r="Y16" s="23"/>
      <c r="Z16" s="23"/>
    </row>
    <row r="17" spans="1:26" ht="22.5" customHeight="1">
      <c r="A17" s="25" t="s">
        <v>154</v>
      </c>
      <c r="B17" s="25" t="s">
        <v>221</v>
      </c>
      <c r="C17" s="25" t="s">
        <v>118</v>
      </c>
      <c r="D17" s="25" t="s">
        <v>119</v>
      </c>
      <c r="E17" s="25" t="s">
        <v>118</v>
      </c>
      <c r="F17" s="25">
        <v>1</v>
      </c>
      <c r="G17" s="25">
        <v>4</v>
      </c>
      <c r="H17" s="25">
        <v>-0.2</v>
      </c>
      <c r="I17" s="25">
        <v>1.4</v>
      </c>
      <c r="J17" s="25" t="s">
        <v>222</v>
      </c>
      <c r="K17" s="25">
        <v>20</v>
      </c>
      <c r="L17" s="26">
        <v>0.33</v>
      </c>
      <c r="M17" s="26">
        <v>0.17</v>
      </c>
      <c r="N17" s="26">
        <v>0.33</v>
      </c>
      <c r="O17" s="26">
        <v>0.17</v>
      </c>
      <c r="P17" s="22">
        <v>1</v>
      </c>
      <c r="Q17" s="27" t="s">
        <v>223</v>
      </c>
      <c r="R17" s="21"/>
      <c r="S17" s="21"/>
      <c r="T17" s="23"/>
      <c r="U17" s="23"/>
      <c r="V17" s="23"/>
      <c r="W17" s="23"/>
      <c r="X17" s="23"/>
      <c r="Y17" s="23"/>
      <c r="Z17" s="23"/>
    </row>
    <row r="18" spans="1:26" ht="22.5" customHeight="1">
      <c r="A18" s="25" t="s">
        <v>157</v>
      </c>
      <c r="B18" s="25" t="s">
        <v>224</v>
      </c>
      <c r="C18" s="25" t="s">
        <v>118</v>
      </c>
      <c r="D18" s="25" t="s">
        <v>122</v>
      </c>
      <c r="E18" s="25" t="s">
        <v>118</v>
      </c>
      <c r="F18" s="25">
        <v>0</v>
      </c>
      <c r="G18" s="25">
        <v>2</v>
      </c>
      <c r="H18" s="25">
        <v>0.2</v>
      </c>
      <c r="I18" s="25">
        <v>0.6</v>
      </c>
      <c r="J18" s="25" t="s">
        <v>225</v>
      </c>
      <c r="K18" s="25">
        <v>30</v>
      </c>
      <c r="L18" s="26">
        <v>0</v>
      </c>
      <c r="M18" s="26">
        <v>0</v>
      </c>
      <c r="N18" s="26">
        <v>0.67</v>
      </c>
      <c r="O18" s="26">
        <v>0.33</v>
      </c>
      <c r="P18" s="22">
        <v>1</v>
      </c>
      <c r="Q18" s="27" t="s">
        <v>223</v>
      </c>
      <c r="R18" s="21"/>
      <c r="S18" s="21"/>
      <c r="T18" s="23"/>
      <c r="U18" s="23"/>
      <c r="V18" s="23"/>
      <c r="W18" s="23"/>
      <c r="X18" s="23"/>
      <c r="Y18" s="23"/>
      <c r="Z18" s="23"/>
    </row>
    <row r="19" spans="1:26" ht="22.5" customHeight="1">
      <c r="A19" s="25" t="s">
        <v>159</v>
      </c>
      <c r="B19" s="25" t="s">
        <v>226</v>
      </c>
      <c r="C19" s="25" t="s">
        <v>118</v>
      </c>
      <c r="D19" s="25" t="s">
        <v>122</v>
      </c>
      <c r="E19" s="25" t="s">
        <v>118</v>
      </c>
      <c r="F19" s="25">
        <v>1</v>
      </c>
      <c r="G19" s="25">
        <v>3</v>
      </c>
      <c r="H19" s="25">
        <v>-0.1</v>
      </c>
      <c r="I19" s="25">
        <v>0.7</v>
      </c>
      <c r="J19" s="25" t="s">
        <v>227</v>
      </c>
      <c r="K19" s="25">
        <v>20</v>
      </c>
      <c r="L19" s="26">
        <v>0.34</v>
      </c>
      <c r="M19" s="26">
        <v>0</v>
      </c>
      <c r="N19" s="26">
        <v>0.33</v>
      </c>
      <c r="O19" s="26">
        <v>0.33</v>
      </c>
      <c r="P19" s="22">
        <v>1</v>
      </c>
      <c r="Q19" s="27" t="s">
        <v>223</v>
      </c>
      <c r="R19" s="21"/>
      <c r="S19" s="21"/>
      <c r="T19" s="23"/>
      <c r="U19" s="23"/>
      <c r="V19" s="23"/>
      <c r="W19" s="23"/>
      <c r="X19" s="23"/>
      <c r="Y19" s="23"/>
      <c r="Z19" s="23"/>
    </row>
    <row r="20" spans="1:26" ht="22.5" customHeight="1">
      <c r="A20" s="25" t="s">
        <v>162</v>
      </c>
      <c r="B20" s="25" t="s">
        <v>228</v>
      </c>
      <c r="C20" s="25" t="s">
        <v>118</v>
      </c>
      <c r="D20" s="25" t="s">
        <v>122</v>
      </c>
      <c r="E20" s="25" t="s">
        <v>118</v>
      </c>
      <c r="F20" s="25">
        <v>1</v>
      </c>
      <c r="G20" s="25">
        <v>3</v>
      </c>
      <c r="H20" s="25">
        <v>0.3</v>
      </c>
      <c r="I20" s="25">
        <v>0.8</v>
      </c>
      <c r="J20" s="25" t="s">
        <v>229</v>
      </c>
      <c r="K20" s="25">
        <v>10</v>
      </c>
      <c r="L20" s="26">
        <v>0</v>
      </c>
      <c r="M20" s="26">
        <v>0</v>
      </c>
      <c r="N20" s="26">
        <v>0.67</v>
      </c>
      <c r="O20" s="26">
        <v>0.33</v>
      </c>
      <c r="P20" s="25">
        <v>1.1000000000000001</v>
      </c>
      <c r="Q20" s="27" t="s">
        <v>223</v>
      </c>
      <c r="R20" s="21"/>
      <c r="S20" s="21"/>
      <c r="T20" s="23"/>
      <c r="U20" s="23"/>
      <c r="V20" s="23"/>
      <c r="W20" s="23"/>
      <c r="X20" s="23"/>
      <c r="Y20" s="23"/>
      <c r="Z20" s="23"/>
    </row>
    <row r="21" spans="1:26" ht="22.5" customHeight="1">
      <c r="A21" s="25" t="s">
        <v>164</v>
      </c>
      <c r="B21" s="25" t="s">
        <v>230</v>
      </c>
      <c r="C21" s="25" t="s">
        <v>118</v>
      </c>
      <c r="D21" s="25" t="s">
        <v>119</v>
      </c>
      <c r="E21" s="25" t="s">
        <v>118</v>
      </c>
      <c r="F21" s="25">
        <v>1</v>
      </c>
      <c r="G21" s="25">
        <v>3</v>
      </c>
      <c r="H21" s="25">
        <v>-1.6</v>
      </c>
      <c r="I21" s="25">
        <v>1.5</v>
      </c>
      <c r="J21" s="25" t="s">
        <v>231</v>
      </c>
      <c r="K21" s="25">
        <v>90</v>
      </c>
      <c r="L21" s="26">
        <v>0.11</v>
      </c>
      <c r="M21" s="26">
        <v>0.61</v>
      </c>
      <c r="N21" s="26">
        <v>0.17</v>
      </c>
      <c r="O21" s="26">
        <v>0.11</v>
      </c>
      <c r="P21" s="25">
        <v>1.5</v>
      </c>
      <c r="Q21" s="27" t="s">
        <v>223</v>
      </c>
      <c r="R21" s="21"/>
      <c r="S21" s="21"/>
      <c r="T21" s="23"/>
      <c r="U21" s="23"/>
      <c r="V21" s="23"/>
      <c r="W21" s="23"/>
      <c r="X21" s="23"/>
      <c r="Y21" s="23"/>
      <c r="Z21" s="23"/>
    </row>
    <row r="22" spans="1:26" ht="22.5" customHeight="1">
      <c r="A22" s="25" t="s">
        <v>166</v>
      </c>
      <c r="B22" s="25" t="s">
        <v>232</v>
      </c>
      <c r="C22" s="25" t="s">
        <v>233</v>
      </c>
      <c r="D22" s="25" t="s">
        <v>122</v>
      </c>
      <c r="E22" s="25" t="s">
        <v>233</v>
      </c>
      <c r="F22" s="25">
        <v>0</v>
      </c>
      <c r="G22" s="25">
        <v>2</v>
      </c>
      <c r="H22" s="25">
        <v>0.1</v>
      </c>
      <c r="I22" s="25">
        <v>0.4</v>
      </c>
      <c r="J22" s="25" t="s">
        <v>234</v>
      </c>
      <c r="K22" s="25">
        <v>0</v>
      </c>
      <c r="L22" s="26">
        <v>0.45</v>
      </c>
      <c r="M22" s="26">
        <v>0</v>
      </c>
      <c r="N22" s="26">
        <v>0.22</v>
      </c>
      <c r="O22" s="26">
        <v>0.33</v>
      </c>
      <c r="P22" s="25">
        <v>1.2</v>
      </c>
      <c r="Q22" s="27" t="s">
        <v>192</v>
      </c>
      <c r="R22" s="21"/>
      <c r="S22" s="21"/>
      <c r="T22" s="23"/>
      <c r="U22" s="23"/>
      <c r="V22" s="23"/>
      <c r="W22" s="23"/>
      <c r="X22" s="23"/>
      <c r="Y22" s="23"/>
      <c r="Z22" s="23"/>
    </row>
    <row r="23" spans="1:26" ht="22.5" customHeight="1">
      <c r="A23" s="25" t="s">
        <v>169</v>
      </c>
      <c r="B23" s="25" t="s">
        <v>235</v>
      </c>
      <c r="C23" s="25" t="s">
        <v>233</v>
      </c>
      <c r="D23" s="25" t="s">
        <v>122</v>
      </c>
      <c r="E23" s="25" t="s">
        <v>233</v>
      </c>
      <c r="F23" s="25">
        <v>0</v>
      </c>
      <c r="G23" s="25">
        <v>2</v>
      </c>
      <c r="H23" s="25">
        <v>0.2</v>
      </c>
      <c r="I23" s="25">
        <v>0.6</v>
      </c>
      <c r="J23" s="25" t="s">
        <v>236</v>
      </c>
      <c r="K23" s="25">
        <v>0</v>
      </c>
      <c r="L23" s="26">
        <v>0</v>
      </c>
      <c r="M23" s="26">
        <v>0</v>
      </c>
      <c r="N23" s="26">
        <v>0.71</v>
      </c>
      <c r="O23" s="26">
        <v>0.28999999999999998</v>
      </c>
      <c r="P23" s="25">
        <v>1.3</v>
      </c>
      <c r="Q23" s="27" t="s">
        <v>192</v>
      </c>
      <c r="R23" s="21"/>
      <c r="S23" s="21"/>
      <c r="T23" s="23"/>
      <c r="U23" s="23"/>
      <c r="V23" s="23"/>
      <c r="W23" s="23"/>
      <c r="X23" s="23"/>
      <c r="Y23" s="23"/>
      <c r="Z23" s="23"/>
    </row>
    <row r="24" spans="1:26" ht="22.5" customHeight="1">
      <c r="A24" s="25" t="s">
        <v>173</v>
      </c>
      <c r="B24" s="25" t="s">
        <v>237</v>
      </c>
      <c r="C24" s="25" t="s">
        <v>233</v>
      </c>
      <c r="D24" s="25" t="s">
        <v>148</v>
      </c>
      <c r="E24" s="25" t="s">
        <v>233</v>
      </c>
      <c r="F24" s="25">
        <v>0</v>
      </c>
      <c r="G24" s="25">
        <v>1</v>
      </c>
      <c r="H24" s="25">
        <v>0.1</v>
      </c>
      <c r="I24" s="25">
        <v>0.3</v>
      </c>
      <c r="J24" s="25" t="s">
        <v>238</v>
      </c>
      <c r="K24" s="25">
        <v>0</v>
      </c>
      <c r="L24" s="26">
        <v>0</v>
      </c>
      <c r="M24" s="26">
        <v>0</v>
      </c>
      <c r="N24" s="26">
        <v>0.71</v>
      </c>
      <c r="O24" s="26">
        <v>0.28999999999999998</v>
      </c>
      <c r="P24" s="25">
        <v>0.7</v>
      </c>
      <c r="Q24" s="27" t="s">
        <v>192</v>
      </c>
      <c r="R24" s="21"/>
      <c r="S24" s="21"/>
      <c r="T24" s="23"/>
      <c r="U24" s="23"/>
      <c r="V24" s="23"/>
      <c r="W24" s="23"/>
      <c r="X24" s="23"/>
      <c r="Y24" s="23"/>
      <c r="Z24" s="23"/>
    </row>
    <row r="25" spans="1:26" ht="22.5" customHeight="1">
      <c r="A25" s="25" t="s">
        <v>175</v>
      </c>
      <c r="B25" s="25" t="s">
        <v>239</v>
      </c>
      <c r="C25" s="25" t="s">
        <v>233</v>
      </c>
      <c r="D25" s="25" t="s">
        <v>122</v>
      </c>
      <c r="E25" s="25" t="s">
        <v>233</v>
      </c>
      <c r="F25" s="25">
        <v>0</v>
      </c>
      <c r="G25" s="25">
        <v>2</v>
      </c>
      <c r="H25" s="25">
        <v>0.3</v>
      </c>
      <c r="I25" s="25">
        <v>0.7</v>
      </c>
      <c r="J25" s="25" t="s">
        <v>240</v>
      </c>
      <c r="K25" s="25">
        <v>20</v>
      </c>
      <c r="L25" s="26">
        <v>0</v>
      </c>
      <c r="M25" s="26">
        <v>0</v>
      </c>
      <c r="N25" s="26">
        <v>0.44</v>
      </c>
      <c r="O25" s="26">
        <v>0.56000000000000005</v>
      </c>
      <c r="P25" s="25">
        <v>1.2</v>
      </c>
      <c r="Q25" s="27" t="s">
        <v>192</v>
      </c>
      <c r="R25" s="21"/>
      <c r="S25" s="21"/>
      <c r="T25" s="23"/>
      <c r="U25" s="23"/>
      <c r="V25" s="23"/>
      <c r="W25" s="23"/>
      <c r="X25" s="23"/>
      <c r="Y25" s="23"/>
      <c r="Z25" s="23"/>
    </row>
    <row r="26" spans="1:26" ht="22.5" customHeight="1">
      <c r="A26" s="25" t="s">
        <v>178</v>
      </c>
      <c r="B26" s="25" t="s">
        <v>411</v>
      </c>
      <c r="C26" s="25" t="s">
        <v>118</v>
      </c>
      <c r="D26" s="25" t="s">
        <v>119</v>
      </c>
      <c r="E26" s="25" t="s">
        <v>120</v>
      </c>
      <c r="F26" s="25">
        <v>3</v>
      </c>
      <c r="G26" s="25">
        <v>5</v>
      </c>
      <c r="H26" s="25">
        <v>-1.7</v>
      </c>
      <c r="I26" s="25">
        <v>2.2000000000000002</v>
      </c>
      <c r="J26" s="25" t="s">
        <v>412</v>
      </c>
      <c r="K26" s="25">
        <v>95</v>
      </c>
      <c r="L26" s="26">
        <v>0.14000000000000001</v>
      </c>
      <c r="M26" s="26">
        <v>0.72</v>
      </c>
      <c r="N26" s="26">
        <v>0.14000000000000001</v>
      </c>
      <c r="O26" s="26">
        <v>0</v>
      </c>
      <c r="P26" s="25">
        <v>1.5</v>
      </c>
      <c r="Q26" s="27" t="s">
        <v>243</v>
      </c>
      <c r="R26" s="21"/>
      <c r="S26" s="21"/>
      <c r="T26" s="23"/>
      <c r="U26" s="23"/>
      <c r="V26" s="23"/>
      <c r="W26" s="23"/>
      <c r="X26" s="23"/>
      <c r="Y26" s="23"/>
      <c r="Z26" s="23"/>
    </row>
    <row r="27" spans="1:26" ht="22.5" customHeight="1">
      <c r="A27" s="25" t="s">
        <v>180</v>
      </c>
      <c r="B27" s="25" t="s">
        <v>244</v>
      </c>
      <c r="C27" s="25" t="s">
        <v>118</v>
      </c>
      <c r="D27" s="25" t="s">
        <v>122</v>
      </c>
      <c r="E27" s="25" t="s">
        <v>120</v>
      </c>
      <c r="F27" s="25">
        <v>2</v>
      </c>
      <c r="G27" s="25">
        <v>3</v>
      </c>
      <c r="H27" s="25">
        <v>-1.1000000000000001</v>
      </c>
      <c r="I27" s="25">
        <v>1.1000000000000001</v>
      </c>
      <c r="J27" s="25" t="s">
        <v>413</v>
      </c>
      <c r="K27" s="25">
        <v>90</v>
      </c>
      <c r="L27" s="26">
        <v>0.56000000000000005</v>
      </c>
      <c r="M27" s="26">
        <v>0.22</v>
      </c>
      <c r="N27" s="26">
        <v>0.11</v>
      </c>
      <c r="O27" s="26">
        <v>0.11</v>
      </c>
      <c r="P27" s="25">
        <v>1.2</v>
      </c>
      <c r="Q27" s="27" t="s">
        <v>243</v>
      </c>
      <c r="R27" s="21"/>
      <c r="S27" s="21"/>
      <c r="T27" s="23"/>
      <c r="U27" s="23"/>
      <c r="V27" s="23"/>
      <c r="W27" s="23"/>
      <c r="X27" s="23"/>
      <c r="Y27" s="23"/>
      <c r="Z27" s="23"/>
    </row>
    <row r="28" spans="1:26" ht="22.5" customHeight="1">
      <c r="A28" s="25" t="s">
        <v>184</v>
      </c>
      <c r="B28" s="25" t="s">
        <v>124</v>
      </c>
      <c r="C28" s="25" t="s">
        <v>118</v>
      </c>
      <c r="D28" s="25" t="s">
        <v>122</v>
      </c>
      <c r="E28" s="25" t="s">
        <v>120</v>
      </c>
      <c r="F28" s="25">
        <v>1</v>
      </c>
      <c r="G28" s="25">
        <v>2</v>
      </c>
      <c r="H28" s="25">
        <v>-0.7</v>
      </c>
      <c r="I28" s="25">
        <v>1.4</v>
      </c>
      <c r="J28" s="25" t="s">
        <v>414</v>
      </c>
      <c r="K28" s="25">
        <v>85</v>
      </c>
      <c r="L28" s="26">
        <v>0.1</v>
      </c>
      <c r="M28" s="26">
        <v>0</v>
      </c>
      <c r="N28" s="26">
        <v>0.6</v>
      </c>
      <c r="O28" s="26">
        <v>0.3</v>
      </c>
      <c r="P28" s="22">
        <v>1</v>
      </c>
      <c r="Q28" s="27" t="s">
        <v>243</v>
      </c>
      <c r="R28" s="21"/>
      <c r="S28" s="21"/>
      <c r="T28" s="23"/>
      <c r="U28" s="23"/>
      <c r="V28" s="23"/>
      <c r="W28" s="23"/>
      <c r="X28" s="23"/>
      <c r="Y28" s="23"/>
      <c r="Z28" s="23"/>
    </row>
    <row r="29" spans="1:26" ht="22.5" customHeight="1">
      <c r="A29" s="25" t="s">
        <v>247</v>
      </c>
      <c r="B29" s="25" t="s">
        <v>160</v>
      </c>
      <c r="C29" s="25" t="s">
        <v>118</v>
      </c>
      <c r="D29" s="25" t="s">
        <v>119</v>
      </c>
      <c r="E29" s="25" t="s">
        <v>120</v>
      </c>
      <c r="F29" s="25">
        <v>3</v>
      </c>
      <c r="G29" s="25">
        <v>5</v>
      </c>
      <c r="H29" s="25">
        <v>1.7</v>
      </c>
      <c r="I29" s="25">
        <v>2.8</v>
      </c>
      <c r="J29" s="25" t="s">
        <v>126</v>
      </c>
      <c r="K29" s="25">
        <v>0</v>
      </c>
      <c r="L29" s="26">
        <v>0</v>
      </c>
      <c r="M29" s="26">
        <v>0</v>
      </c>
      <c r="N29" s="26">
        <v>0.4</v>
      </c>
      <c r="O29" s="26">
        <v>0.6</v>
      </c>
      <c r="P29" s="25">
        <v>0.4</v>
      </c>
      <c r="Q29" s="27" t="s">
        <v>243</v>
      </c>
      <c r="R29" s="21"/>
      <c r="S29" s="21"/>
      <c r="T29" s="23"/>
      <c r="U29" s="23"/>
      <c r="V29" s="23"/>
      <c r="W29" s="23"/>
      <c r="X29" s="23"/>
      <c r="Y29" s="23"/>
      <c r="Z29" s="23"/>
    </row>
    <row r="30" spans="1:26" ht="22.5" customHeight="1">
      <c r="A30" s="25" t="s">
        <v>248</v>
      </c>
      <c r="B30" s="25" t="s">
        <v>128</v>
      </c>
      <c r="C30" s="25" t="s">
        <v>118</v>
      </c>
      <c r="D30" s="25" t="s">
        <v>119</v>
      </c>
      <c r="E30" s="25" t="s">
        <v>120</v>
      </c>
      <c r="F30" s="25">
        <v>1</v>
      </c>
      <c r="G30" s="25">
        <v>1</v>
      </c>
      <c r="H30" s="25">
        <v>-1.2</v>
      </c>
      <c r="I30" s="25">
        <v>0.6</v>
      </c>
      <c r="J30" s="25" t="s">
        <v>129</v>
      </c>
      <c r="K30" s="25">
        <v>70</v>
      </c>
      <c r="L30" s="26">
        <v>0.67</v>
      </c>
      <c r="M30" s="26">
        <v>0</v>
      </c>
      <c r="N30" s="26">
        <v>0.22</v>
      </c>
      <c r="O30" s="26">
        <v>0.11</v>
      </c>
      <c r="P30" s="22">
        <v>1</v>
      </c>
      <c r="Q30" s="27" t="s">
        <v>243</v>
      </c>
      <c r="R30" s="21"/>
      <c r="S30" s="21"/>
      <c r="T30" s="23"/>
      <c r="U30" s="23"/>
      <c r="V30" s="23"/>
      <c r="W30" s="23"/>
      <c r="X30" s="23"/>
      <c r="Y30" s="23"/>
      <c r="Z30" s="23"/>
    </row>
    <row r="31" spans="1:26" ht="22.5" customHeight="1">
      <c r="A31" s="25" t="s">
        <v>249</v>
      </c>
      <c r="B31" s="25" t="s">
        <v>415</v>
      </c>
      <c r="C31" s="25" t="s">
        <v>120</v>
      </c>
      <c r="D31" s="25" t="s">
        <v>122</v>
      </c>
      <c r="E31" s="25" t="s">
        <v>120</v>
      </c>
      <c r="F31" s="25">
        <v>2</v>
      </c>
      <c r="G31" s="25">
        <v>3</v>
      </c>
      <c r="H31" s="25">
        <v>-0.5</v>
      </c>
      <c r="I31" s="25">
        <v>1.1000000000000001</v>
      </c>
      <c r="J31" s="25" t="s">
        <v>416</v>
      </c>
      <c r="K31" s="25">
        <v>90</v>
      </c>
      <c r="L31" s="26">
        <v>0</v>
      </c>
      <c r="M31" s="26">
        <v>0</v>
      </c>
      <c r="N31" s="26">
        <v>0.33</v>
      </c>
      <c r="O31" s="26">
        <v>0.67</v>
      </c>
      <c r="P31" s="22">
        <v>2</v>
      </c>
      <c r="Q31" s="27" t="s">
        <v>243</v>
      </c>
      <c r="R31" s="21"/>
      <c r="S31" s="21"/>
      <c r="T31" s="23"/>
      <c r="U31" s="23"/>
      <c r="V31" s="23"/>
      <c r="W31" s="23"/>
      <c r="X31" s="23"/>
      <c r="Y31" s="23"/>
      <c r="Z31" s="23"/>
    </row>
    <row r="32" spans="1:26" ht="22.5" customHeight="1">
      <c r="A32" s="25" t="s">
        <v>252</v>
      </c>
      <c r="B32" s="25" t="s">
        <v>132</v>
      </c>
      <c r="C32" s="25" t="s">
        <v>120</v>
      </c>
      <c r="D32" s="25" t="s">
        <v>119</v>
      </c>
      <c r="E32" s="25" t="s">
        <v>120</v>
      </c>
      <c r="F32" s="25">
        <v>4</v>
      </c>
      <c r="G32" s="25">
        <v>7</v>
      </c>
      <c r="H32" s="25">
        <v>-1.5</v>
      </c>
      <c r="I32" s="25">
        <v>2.8</v>
      </c>
      <c r="J32" s="25" t="s">
        <v>133</v>
      </c>
      <c r="K32" s="25">
        <v>85</v>
      </c>
      <c r="L32" s="26">
        <v>0.27</v>
      </c>
      <c r="M32" s="26">
        <v>0.45</v>
      </c>
      <c r="N32" s="26">
        <v>0.18</v>
      </c>
      <c r="O32" s="26">
        <v>0.1</v>
      </c>
      <c r="P32" s="25">
        <v>0.5</v>
      </c>
      <c r="Q32" s="27" t="s">
        <v>243</v>
      </c>
      <c r="R32" s="21"/>
      <c r="S32" s="21"/>
      <c r="T32" s="23"/>
      <c r="U32" s="23"/>
      <c r="V32" s="23"/>
      <c r="W32" s="23"/>
      <c r="X32" s="23"/>
      <c r="Y32" s="23"/>
      <c r="Z32" s="23"/>
    </row>
    <row r="33" spans="1:26" ht="22.5" customHeight="1">
      <c r="A33" s="25" t="s">
        <v>253</v>
      </c>
      <c r="B33" s="25" t="s">
        <v>135</v>
      </c>
      <c r="C33" s="25" t="s">
        <v>120</v>
      </c>
      <c r="D33" s="25" t="s">
        <v>122</v>
      </c>
      <c r="E33" s="25" t="s">
        <v>120</v>
      </c>
      <c r="F33" s="25">
        <v>2</v>
      </c>
      <c r="G33" s="25">
        <v>3</v>
      </c>
      <c r="H33" s="25">
        <v>-0.8</v>
      </c>
      <c r="I33" s="25">
        <v>1.4</v>
      </c>
      <c r="J33" s="25" t="s">
        <v>254</v>
      </c>
      <c r="K33" s="25">
        <v>65</v>
      </c>
      <c r="L33" s="26">
        <v>0.22</v>
      </c>
      <c r="M33" s="26">
        <v>0.11</v>
      </c>
      <c r="N33" s="26">
        <v>0.45</v>
      </c>
      <c r="O33" s="26">
        <v>0.22</v>
      </c>
      <c r="P33" s="25">
        <v>1.5</v>
      </c>
      <c r="Q33" s="27" t="s">
        <v>243</v>
      </c>
      <c r="R33" s="21"/>
      <c r="S33" s="21"/>
      <c r="T33" s="23"/>
      <c r="U33" s="23"/>
      <c r="V33" s="23"/>
      <c r="W33" s="23"/>
      <c r="X33" s="23"/>
      <c r="Y33" s="23"/>
      <c r="Z33" s="23"/>
    </row>
    <row r="34" spans="1:26" ht="22.5" customHeight="1">
      <c r="A34" s="25" t="s">
        <v>255</v>
      </c>
      <c r="B34" s="25" t="s">
        <v>137</v>
      </c>
      <c r="C34" s="25" t="s">
        <v>120</v>
      </c>
      <c r="D34" s="25" t="s">
        <v>122</v>
      </c>
      <c r="E34" s="25" t="s">
        <v>120</v>
      </c>
      <c r="F34" s="25">
        <v>2</v>
      </c>
      <c r="G34" s="25">
        <v>3</v>
      </c>
      <c r="H34" s="25">
        <v>-0.9</v>
      </c>
      <c r="I34" s="25">
        <v>1.7</v>
      </c>
      <c r="J34" s="25" t="s">
        <v>417</v>
      </c>
      <c r="K34" s="25">
        <v>75</v>
      </c>
      <c r="L34" s="26">
        <v>0.1</v>
      </c>
      <c r="M34" s="26">
        <v>0.7</v>
      </c>
      <c r="N34" s="26">
        <v>0.15</v>
      </c>
      <c r="O34" s="26">
        <v>0.05</v>
      </c>
      <c r="P34" s="25">
        <v>0.8</v>
      </c>
      <c r="Q34" s="27" t="s">
        <v>243</v>
      </c>
      <c r="R34" s="21"/>
      <c r="S34" s="21"/>
      <c r="T34" s="23"/>
      <c r="U34" s="23"/>
      <c r="V34" s="23"/>
      <c r="W34" s="23"/>
      <c r="X34" s="23"/>
      <c r="Y34" s="23"/>
      <c r="Z34" s="23"/>
    </row>
    <row r="35" spans="1:26" ht="22.5" customHeight="1">
      <c r="A35" s="25" t="s">
        <v>257</v>
      </c>
      <c r="B35" s="25" t="s">
        <v>139</v>
      </c>
      <c r="C35" s="25" t="s">
        <v>120</v>
      </c>
      <c r="D35" s="25" t="s">
        <v>122</v>
      </c>
      <c r="E35" s="25" t="s">
        <v>120</v>
      </c>
      <c r="F35" s="25">
        <v>1</v>
      </c>
      <c r="G35" s="25">
        <v>2</v>
      </c>
      <c r="H35" s="25">
        <v>-0.3</v>
      </c>
      <c r="I35" s="25">
        <v>0.8</v>
      </c>
      <c r="J35" s="25" t="s">
        <v>258</v>
      </c>
      <c r="K35" s="25">
        <v>60</v>
      </c>
      <c r="L35" s="26">
        <v>0.11</v>
      </c>
      <c r="M35" s="26">
        <v>0</v>
      </c>
      <c r="N35" s="26">
        <v>0.22</v>
      </c>
      <c r="O35" s="26">
        <v>0.67</v>
      </c>
      <c r="P35" s="25">
        <v>0.6</v>
      </c>
      <c r="Q35" s="27" t="s">
        <v>243</v>
      </c>
      <c r="R35" s="21"/>
      <c r="S35" s="21"/>
      <c r="T35" s="23"/>
      <c r="U35" s="23"/>
      <c r="V35" s="23"/>
      <c r="W35" s="23"/>
      <c r="X35" s="23"/>
      <c r="Y35" s="23"/>
      <c r="Z35" s="23"/>
    </row>
    <row r="36" spans="1:26" ht="22.5" customHeight="1">
      <c r="A36" s="25" t="s">
        <v>259</v>
      </c>
      <c r="B36" s="25" t="s">
        <v>141</v>
      </c>
      <c r="C36" s="25" t="s">
        <v>120</v>
      </c>
      <c r="D36" s="25" t="s">
        <v>122</v>
      </c>
      <c r="E36" s="25" t="s">
        <v>120</v>
      </c>
      <c r="F36" s="25">
        <v>1</v>
      </c>
      <c r="G36" s="25">
        <v>2</v>
      </c>
      <c r="H36" s="25">
        <v>0.4</v>
      </c>
      <c r="I36" s="25">
        <v>0.8</v>
      </c>
      <c r="J36" s="25" t="s">
        <v>142</v>
      </c>
      <c r="K36" s="25">
        <v>0</v>
      </c>
      <c r="L36" s="26">
        <v>0.2</v>
      </c>
      <c r="M36" s="26">
        <v>0</v>
      </c>
      <c r="N36" s="26">
        <v>0.6</v>
      </c>
      <c r="O36" s="26">
        <v>0.2</v>
      </c>
      <c r="P36" s="25">
        <v>0.3</v>
      </c>
      <c r="Q36" s="27" t="s">
        <v>243</v>
      </c>
      <c r="R36" s="21"/>
      <c r="S36" s="21"/>
      <c r="T36" s="23"/>
      <c r="U36" s="23"/>
      <c r="V36" s="23"/>
      <c r="W36" s="23"/>
      <c r="X36" s="23"/>
      <c r="Y36" s="23"/>
      <c r="Z36" s="23"/>
    </row>
    <row r="37" spans="1:26" ht="22.5" customHeight="1">
      <c r="A37" s="25" t="s">
        <v>260</v>
      </c>
      <c r="B37" s="25" t="s">
        <v>144</v>
      </c>
      <c r="C37" s="25" t="s">
        <v>120</v>
      </c>
      <c r="D37" s="25" t="s">
        <v>119</v>
      </c>
      <c r="E37" s="25" t="s">
        <v>120</v>
      </c>
      <c r="F37" s="25">
        <v>3</v>
      </c>
      <c r="G37" s="25">
        <v>4</v>
      </c>
      <c r="H37" s="25">
        <v>-1.4</v>
      </c>
      <c r="I37" s="25">
        <v>1.9</v>
      </c>
      <c r="J37" s="25" t="s">
        <v>145</v>
      </c>
      <c r="K37" s="25">
        <v>75</v>
      </c>
      <c r="L37" s="26">
        <v>0.56999999999999995</v>
      </c>
      <c r="M37" s="26">
        <v>0.15</v>
      </c>
      <c r="N37" s="26">
        <v>0.21</v>
      </c>
      <c r="O37" s="26">
        <v>7.0000000000000007E-2</v>
      </c>
      <c r="P37" s="25">
        <v>0.4</v>
      </c>
      <c r="Q37" s="27" t="s">
        <v>243</v>
      </c>
      <c r="R37" s="21"/>
      <c r="S37" s="21"/>
      <c r="T37" s="23"/>
      <c r="U37" s="23"/>
      <c r="V37" s="23"/>
      <c r="W37" s="23"/>
      <c r="X37" s="23"/>
      <c r="Y37" s="23"/>
      <c r="Z37" s="23"/>
    </row>
    <row r="38" spans="1:26" ht="22.5" customHeight="1">
      <c r="A38" s="25" t="s">
        <v>261</v>
      </c>
      <c r="B38" s="25" t="s">
        <v>147</v>
      </c>
      <c r="C38" s="25" t="s">
        <v>120</v>
      </c>
      <c r="D38" s="25" t="s">
        <v>148</v>
      </c>
      <c r="E38" s="25" t="s">
        <v>120</v>
      </c>
      <c r="F38" s="25">
        <v>1</v>
      </c>
      <c r="G38" s="25">
        <v>2</v>
      </c>
      <c r="H38" s="25">
        <v>-0.3</v>
      </c>
      <c r="I38" s="25">
        <v>0.7</v>
      </c>
      <c r="J38" s="25" t="s">
        <v>418</v>
      </c>
      <c r="K38" s="25">
        <v>65</v>
      </c>
      <c r="L38" s="26">
        <v>0.1</v>
      </c>
      <c r="M38" s="26">
        <v>0</v>
      </c>
      <c r="N38" s="26">
        <v>0.7</v>
      </c>
      <c r="O38" s="26">
        <v>0.2</v>
      </c>
      <c r="P38" s="25">
        <v>1.2</v>
      </c>
      <c r="Q38" s="27" t="s">
        <v>243</v>
      </c>
      <c r="R38" s="21"/>
      <c r="S38" s="21"/>
      <c r="T38" s="23"/>
      <c r="U38" s="23"/>
      <c r="V38" s="23"/>
      <c r="W38" s="23"/>
      <c r="X38" s="23"/>
      <c r="Y38" s="23"/>
      <c r="Z38" s="23"/>
    </row>
    <row r="39" spans="1:26" ht="22.5" customHeight="1">
      <c r="A39" s="25" t="s">
        <v>263</v>
      </c>
      <c r="B39" s="25" t="s">
        <v>150</v>
      </c>
      <c r="C39" s="25" t="s">
        <v>120</v>
      </c>
      <c r="D39" s="25" t="s">
        <v>122</v>
      </c>
      <c r="E39" s="25" t="s">
        <v>120</v>
      </c>
      <c r="F39" s="25">
        <v>2</v>
      </c>
      <c r="G39" s="25">
        <v>3</v>
      </c>
      <c r="H39" s="22">
        <v>0.1</v>
      </c>
      <c r="I39" s="25">
        <v>1.1000000000000001</v>
      </c>
      <c r="J39" s="25" t="s">
        <v>264</v>
      </c>
      <c r="K39" s="25">
        <v>0</v>
      </c>
      <c r="L39" s="26">
        <v>0</v>
      </c>
      <c r="M39" s="26">
        <v>0.2</v>
      </c>
      <c r="N39" s="26">
        <v>0.6</v>
      </c>
      <c r="O39" s="26">
        <v>0.2</v>
      </c>
      <c r="P39" s="25">
        <v>0.8</v>
      </c>
      <c r="Q39" s="27" t="s">
        <v>243</v>
      </c>
      <c r="R39" s="21"/>
      <c r="S39" s="21"/>
      <c r="T39" s="23"/>
      <c r="U39" s="23"/>
      <c r="V39" s="23"/>
      <c r="W39" s="23"/>
      <c r="X39" s="23"/>
      <c r="Y39" s="23"/>
      <c r="Z39" s="23"/>
    </row>
    <row r="40" spans="1:26" ht="22.5" customHeight="1">
      <c r="A40" s="25" t="s">
        <v>265</v>
      </c>
      <c r="B40" s="25" t="s">
        <v>152</v>
      </c>
      <c r="C40" s="25" t="s">
        <v>120</v>
      </c>
      <c r="D40" s="25" t="s">
        <v>119</v>
      </c>
      <c r="E40" s="25" t="s">
        <v>120</v>
      </c>
      <c r="F40" s="25">
        <v>3</v>
      </c>
      <c r="G40" s="25">
        <v>4</v>
      </c>
      <c r="H40" s="25">
        <v>-1.3</v>
      </c>
      <c r="I40" s="25">
        <v>2.2000000000000002</v>
      </c>
      <c r="J40" s="25" t="s">
        <v>153</v>
      </c>
      <c r="K40" s="25">
        <v>70</v>
      </c>
      <c r="L40" s="26">
        <v>0.2</v>
      </c>
      <c r="M40" s="26">
        <v>0.3</v>
      </c>
      <c r="N40" s="26">
        <v>0.4</v>
      </c>
      <c r="O40" s="26">
        <v>0.1</v>
      </c>
      <c r="P40" s="25">
        <v>0.2</v>
      </c>
      <c r="Q40" s="27" t="s">
        <v>243</v>
      </c>
      <c r="R40" s="21"/>
      <c r="S40" s="21"/>
      <c r="T40" s="23"/>
      <c r="U40" s="23"/>
      <c r="V40" s="23"/>
      <c r="W40" s="23"/>
      <c r="X40" s="23"/>
      <c r="Y40" s="23"/>
      <c r="Z40" s="23"/>
    </row>
    <row r="41" spans="1:26" ht="22.5" customHeight="1">
      <c r="A41" s="25" t="s">
        <v>266</v>
      </c>
      <c r="B41" s="25" t="s">
        <v>155</v>
      </c>
      <c r="C41" s="25" t="s">
        <v>120</v>
      </c>
      <c r="D41" s="25" t="s">
        <v>119</v>
      </c>
      <c r="E41" s="25" t="s">
        <v>120</v>
      </c>
      <c r="F41" s="25">
        <v>5</v>
      </c>
      <c r="G41" s="25">
        <v>8</v>
      </c>
      <c r="H41" s="25">
        <v>-0.5</v>
      </c>
      <c r="I41" s="25">
        <v>3.9</v>
      </c>
      <c r="J41" s="25" t="s">
        <v>156</v>
      </c>
      <c r="K41" s="25">
        <v>60</v>
      </c>
      <c r="L41" s="26">
        <v>0.18</v>
      </c>
      <c r="M41" s="26">
        <v>0.1</v>
      </c>
      <c r="N41" s="26">
        <v>0.27</v>
      </c>
      <c r="O41" s="26">
        <v>0.45</v>
      </c>
      <c r="P41" s="25">
        <v>0.3</v>
      </c>
      <c r="Q41" s="27" t="s">
        <v>243</v>
      </c>
      <c r="R41" s="21"/>
      <c r="S41" s="21"/>
      <c r="T41" s="23"/>
      <c r="U41" s="23"/>
      <c r="V41" s="23"/>
      <c r="W41" s="23"/>
      <c r="X41" s="23"/>
      <c r="Y41" s="23"/>
      <c r="Z41" s="23"/>
    </row>
    <row r="42" spans="1:26" ht="22.5" customHeight="1">
      <c r="A42" s="25" t="s">
        <v>267</v>
      </c>
      <c r="B42" s="25" t="s">
        <v>158</v>
      </c>
      <c r="C42" s="25" t="s">
        <v>120</v>
      </c>
      <c r="D42" s="25" t="s">
        <v>122</v>
      </c>
      <c r="E42" s="25" t="s">
        <v>120</v>
      </c>
      <c r="F42" s="25">
        <v>1</v>
      </c>
      <c r="G42" s="25">
        <v>2</v>
      </c>
      <c r="H42" s="22">
        <v>0.1</v>
      </c>
      <c r="I42" s="25">
        <v>0.7</v>
      </c>
      <c r="J42" s="25" t="s">
        <v>268</v>
      </c>
      <c r="K42" s="25">
        <v>0</v>
      </c>
      <c r="L42" s="26">
        <v>0.2</v>
      </c>
      <c r="M42" s="26">
        <v>0.4</v>
      </c>
      <c r="N42" s="26">
        <v>0.2</v>
      </c>
      <c r="O42" s="26">
        <v>0.2</v>
      </c>
      <c r="P42" s="25">
        <v>0.5</v>
      </c>
      <c r="Q42" s="27" t="s">
        <v>243</v>
      </c>
      <c r="R42" s="21"/>
      <c r="S42" s="21"/>
      <c r="T42" s="23"/>
      <c r="U42" s="23"/>
      <c r="V42" s="23"/>
      <c r="W42" s="23"/>
      <c r="X42" s="23"/>
      <c r="Y42" s="23"/>
      <c r="Z42" s="23"/>
    </row>
    <row r="43" spans="1:26" ht="22.5" customHeight="1">
      <c r="A43" s="25" t="s">
        <v>269</v>
      </c>
      <c r="B43" s="25" t="s">
        <v>163</v>
      </c>
      <c r="C43" s="25" t="s">
        <v>161</v>
      </c>
      <c r="D43" s="25" t="s">
        <v>119</v>
      </c>
      <c r="E43" s="25" t="s">
        <v>120</v>
      </c>
      <c r="F43" s="25">
        <v>4</v>
      </c>
      <c r="G43" s="25">
        <v>7</v>
      </c>
      <c r="H43" s="25">
        <v>-0.8</v>
      </c>
      <c r="I43" s="25">
        <v>3.3</v>
      </c>
      <c r="J43" s="25" t="s">
        <v>419</v>
      </c>
      <c r="K43" s="25">
        <v>70</v>
      </c>
      <c r="L43" s="26">
        <v>0.11</v>
      </c>
      <c r="M43" s="26">
        <v>0.11</v>
      </c>
      <c r="N43" s="26">
        <v>0.67</v>
      </c>
      <c r="O43" s="26">
        <v>0.11</v>
      </c>
      <c r="P43" s="25">
        <v>0.3</v>
      </c>
      <c r="Q43" s="27" t="s">
        <v>243</v>
      </c>
      <c r="R43" s="21"/>
      <c r="S43" s="21"/>
      <c r="T43" s="23"/>
      <c r="U43" s="23"/>
      <c r="V43" s="23"/>
      <c r="W43" s="23"/>
      <c r="X43" s="23"/>
      <c r="Y43" s="23"/>
      <c r="Z43" s="23"/>
    </row>
    <row r="44" spans="1:26" ht="22.5" customHeight="1">
      <c r="A44" s="25" t="s">
        <v>271</v>
      </c>
      <c r="B44" s="25" t="s">
        <v>167</v>
      </c>
      <c r="C44" s="25" t="s">
        <v>161</v>
      </c>
      <c r="D44" s="25" t="s">
        <v>119</v>
      </c>
      <c r="E44" s="25" t="s">
        <v>120</v>
      </c>
      <c r="F44" s="25">
        <v>3</v>
      </c>
      <c r="G44" s="25">
        <v>5</v>
      </c>
      <c r="H44" s="25">
        <v>1.4</v>
      </c>
      <c r="I44" s="25">
        <v>2.2000000000000002</v>
      </c>
      <c r="J44" s="25" t="s">
        <v>168</v>
      </c>
      <c r="K44" s="25">
        <v>0</v>
      </c>
      <c r="L44" s="26">
        <v>0.56999999999999995</v>
      </c>
      <c r="M44" s="26">
        <v>0.28999999999999998</v>
      </c>
      <c r="N44" s="26">
        <v>0.14000000000000001</v>
      </c>
      <c r="O44" s="26">
        <v>0</v>
      </c>
      <c r="P44" s="25">
        <v>0.2</v>
      </c>
      <c r="Q44" s="27" t="s">
        <v>243</v>
      </c>
      <c r="R44" s="21"/>
      <c r="S44" s="21"/>
      <c r="T44" s="23"/>
      <c r="U44" s="23"/>
      <c r="V44" s="23"/>
      <c r="W44" s="23"/>
      <c r="X44" s="23"/>
      <c r="Y44" s="23"/>
      <c r="Z44" s="23"/>
    </row>
    <row r="45" spans="1:26" ht="22.5" customHeight="1">
      <c r="A45" s="25" t="s">
        <v>272</v>
      </c>
      <c r="B45" s="25" t="s">
        <v>170</v>
      </c>
      <c r="C45" s="25" t="s">
        <v>171</v>
      </c>
      <c r="D45" s="25" t="s">
        <v>122</v>
      </c>
      <c r="E45" s="25" t="s">
        <v>120</v>
      </c>
      <c r="F45" s="25">
        <v>2</v>
      </c>
      <c r="G45" s="25">
        <v>4</v>
      </c>
      <c r="H45" s="25">
        <v>0.8</v>
      </c>
      <c r="I45" s="25">
        <v>1.7</v>
      </c>
      <c r="J45" s="25" t="s">
        <v>172</v>
      </c>
      <c r="K45" s="25">
        <v>60</v>
      </c>
      <c r="L45" s="26">
        <v>0</v>
      </c>
      <c r="M45" s="26">
        <v>0.18</v>
      </c>
      <c r="N45" s="26">
        <v>0.73</v>
      </c>
      <c r="O45" s="26">
        <v>0.09</v>
      </c>
      <c r="P45" s="25">
        <v>0.5</v>
      </c>
      <c r="Q45" s="27" t="s">
        <v>243</v>
      </c>
      <c r="R45" s="21"/>
      <c r="S45" s="21"/>
      <c r="T45" s="23"/>
      <c r="U45" s="23"/>
      <c r="V45" s="23"/>
      <c r="W45" s="23"/>
      <c r="X45" s="23"/>
      <c r="Y45" s="23"/>
      <c r="Z45" s="23"/>
    </row>
    <row r="46" spans="1:26" ht="22.5" customHeight="1">
      <c r="A46" s="25" t="s">
        <v>273</v>
      </c>
      <c r="B46" s="25" t="s">
        <v>174</v>
      </c>
      <c r="C46" s="25" t="s">
        <v>171</v>
      </c>
      <c r="D46" s="25" t="s">
        <v>122</v>
      </c>
      <c r="E46" s="25" t="s">
        <v>120</v>
      </c>
      <c r="F46" s="25">
        <v>0</v>
      </c>
      <c r="G46" s="25">
        <v>0</v>
      </c>
      <c r="H46" s="25">
        <v>1.1000000000000001</v>
      </c>
      <c r="I46" s="25">
        <v>2.5</v>
      </c>
      <c r="J46" s="25" t="s">
        <v>420</v>
      </c>
      <c r="K46" s="25">
        <v>0</v>
      </c>
      <c r="L46" s="26">
        <v>0</v>
      </c>
      <c r="M46" s="26">
        <v>0.67</v>
      </c>
      <c r="N46" s="26">
        <v>0.22</v>
      </c>
      <c r="O46" s="26">
        <v>0.11</v>
      </c>
      <c r="P46" s="25">
        <v>0.4</v>
      </c>
      <c r="Q46" s="27" t="s">
        <v>243</v>
      </c>
      <c r="R46" s="21"/>
      <c r="S46" s="21"/>
      <c r="T46" s="23"/>
      <c r="U46" s="23"/>
      <c r="V46" s="23"/>
      <c r="W46" s="23"/>
      <c r="X46" s="23"/>
      <c r="Y46" s="23"/>
      <c r="Z46" s="23"/>
    </row>
    <row r="47" spans="1:26" ht="22.5" customHeight="1">
      <c r="A47" s="25" t="s">
        <v>275</v>
      </c>
      <c r="B47" s="25" t="s">
        <v>176</v>
      </c>
      <c r="C47" s="25" t="s">
        <v>171</v>
      </c>
      <c r="D47" s="25" t="s">
        <v>119</v>
      </c>
      <c r="E47" s="25" t="s">
        <v>120</v>
      </c>
      <c r="F47" s="25">
        <v>3</v>
      </c>
      <c r="G47" s="25">
        <v>5</v>
      </c>
      <c r="H47" s="25">
        <v>-0.6</v>
      </c>
      <c r="I47" s="25">
        <v>2.2000000000000002</v>
      </c>
      <c r="J47" s="25" t="s">
        <v>177</v>
      </c>
      <c r="K47" s="25">
        <v>70</v>
      </c>
      <c r="L47" s="26">
        <v>0.19</v>
      </c>
      <c r="M47" s="26">
        <v>0.19</v>
      </c>
      <c r="N47" s="26">
        <v>0.62</v>
      </c>
      <c r="O47" s="26">
        <v>0</v>
      </c>
      <c r="P47" s="25">
        <v>0.6</v>
      </c>
      <c r="Q47" s="27" t="s">
        <v>243</v>
      </c>
      <c r="R47" s="21"/>
      <c r="S47" s="21"/>
      <c r="T47" s="23"/>
      <c r="U47" s="23"/>
      <c r="V47" s="23"/>
      <c r="W47" s="23"/>
      <c r="X47" s="23"/>
      <c r="Y47" s="23"/>
      <c r="Z47" s="23"/>
    </row>
    <row r="48" spans="1:26" ht="22.5" customHeight="1">
      <c r="A48" s="25" t="s">
        <v>276</v>
      </c>
      <c r="B48" s="25" t="s">
        <v>179</v>
      </c>
      <c r="C48" s="25" t="s">
        <v>171</v>
      </c>
      <c r="D48" s="25" t="s">
        <v>122</v>
      </c>
      <c r="E48" s="25" t="s">
        <v>120</v>
      </c>
      <c r="F48" s="25">
        <v>2</v>
      </c>
      <c r="G48" s="25">
        <v>3</v>
      </c>
      <c r="H48" s="25">
        <v>-0.5</v>
      </c>
      <c r="I48" s="25">
        <v>1.4</v>
      </c>
      <c r="J48" s="25" t="s">
        <v>421</v>
      </c>
      <c r="K48" s="25">
        <v>65</v>
      </c>
      <c r="L48" s="26">
        <v>0</v>
      </c>
      <c r="M48" s="26">
        <v>0.13</v>
      </c>
      <c r="N48" s="26">
        <v>0.74</v>
      </c>
      <c r="O48" s="26">
        <v>0.13</v>
      </c>
      <c r="P48" s="25">
        <v>0.8</v>
      </c>
      <c r="Q48" s="27" t="s">
        <v>243</v>
      </c>
      <c r="R48" s="21"/>
      <c r="S48" s="21"/>
      <c r="T48" s="23"/>
      <c r="U48" s="23"/>
      <c r="V48" s="23"/>
      <c r="W48" s="23"/>
      <c r="X48" s="23"/>
      <c r="Y48" s="23"/>
      <c r="Z48" s="23"/>
    </row>
    <row r="49" spans="1:26" ht="22.5" customHeight="1">
      <c r="A49" s="25" t="s">
        <v>278</v>
      </c>
      <c r="B49" s="25" t="s">
        <v>181</v>
      </c>
      <c r="C49" s="25" t="s">
        <v>182</v>
      </c>
      <c r="D49" s="25" t="s">
        <v>122</v>
      </c>
      <c r="E49" s="25" t="s">
        <v>120</v>
      </c>
      <c r="F49" s="25">
        <v>2</v>
      </c>
      <c r="G49" s="25">
        <v>3</v>
      </c>
      <c r="H49" s="25">
        <v>0.8</v>
      </c>
      <c r="I49" s="25">
        <v>1.4</v>
      </c>
      <c r="J49" s="25" t="s">
        <v>183</v>
      </c>
      <c r="K49" s="25">
        <v>70</v>
      </c>
      <c r="L49" s="26">
        <v>0.36</v>
      </c>
      <c r="M49" s="26">
        <v>0.21</v>
      </c>
      <c r="N49" s="26">
        <v>0.36</v>
      </c>
      <c r="O49" s="26">
        <v>7.0000000000000007E-2</v>
      </c>
      <c r="P49" s="22">
        <v>1</v>
      </c>
      <c r="Q49" s="27" t="s">
        <v>243</v>
      </c>
      <c r="R49" s="21"/>
      <c r="S49" s="21"/>
      <c r="T49" s="23"/>
      <c r="U49" s="23"/>
      <c r="V49" s="23"/>
      <c r="W49" s="23"/>
      <c r="X49" s="23"/>
      <c r="Y49" s="23"/>
      <c r="Z49" s="23"/>
    </row>
    <row r="50" spans="1:26" ht="22.5" customHeight="1">
      <c r="A50" s="25" t="s">
        <v>279</v>
      </c>
      <c r="B50" s="25" t="s">
        <v>280</v>
      </c>
      <c r="C50" s="25" t="s">
        <v>120</v>
      </c>
      <c r="D50" s="25" t="s">
        <v>119</v>
      </c>
      <c r="E50" s="25" t="s">
        <v>120</v>
      </c>
      <c r="F50" s="25">
        <v>1</v>
      </c>
      <c r="G50" s="25">
        <v>3</v>
      </c>
      <c r="H50" s="25">
        <v>0.5</v>
      </c>
      <c r="I50" s="22">
        <v>1</v>
      </c>
      <c r="J50" s="25" t="s">
        <v>281</v>
      </c>
      <c r="K50" s="25">
        <v>20</v>
      </c>
      <c r="L50" s="26">
        <v>0.13</v>
      </c>
      <c r="M50" s="26">
        <v>0.49</v>
      </c>
      <c r="N50" s="26">
        <v>0.25</v>
      </c>
      <c r="O50" s="26">
        <v>0.13</v>
      </c>
      <c r="P50" s="25">
        <v>1.4</v>
      </c>
      <c r="Q50" s="27" t="s">
        <v>243</v>
      </c>
      <c r="R50" s="21"/>
      <c r="S50" s="21"/>
      <c r="T50" s="23"/>
      <c r="U50" s="23"/>
      <c r="V50" s="23"/>
      <c r="W50" s="23"/>
      <c r="X50" s="23"/>
      <c r="Y50" s="23"/>
      <c r="Z50" s="23"/>
    </row>
    <row r="51" spans="1:26" ht="22.5" customHeight="1">
      <c r="A51" s="25" t="s">
        <v>282</v>
      </c>
      <c r="B51" s="25" t="s">
        <v>283</v>
      </c>
      <c r="C51" s="25" t="s">
        <v>120</v>
      </c>
      <c r="D51" s="25" t="s">
        <v>119</v>
      </c>
      <c r="E51" s="25" t="s">
        <v>120</v>
      </c>
      <c r="F51" s="25">
        <v>1</v>
      </c>
      <c r="G51" s="25">
        <v>2</v>
      </c>
      <c r="H51" s="25">
        <v>0.4</v>
      </c>
      <c r="I51" s="25">
        <v>0.8</v>
      </c>
      <c r="J51" s="25" t="s">
        <v>284</v>
      </c>
      <c r="K51" s="25">
        <v>10</v>
      </c>
      <c r="L51" s="26">
        <v>0.15</v>
      </c>
      <c r="M51" s="26">
        <v>0.25</v>
      </c>
      <c r="N51" s="26">
        <v>0.35</v>
      </c>
      <c r="O51" s="26">
        <v>0.25</v>
      </c>
      <c r="P51" s="22">
        <v>1</v>
      </c>
      <c r="Q51" s="27" t="s">
        <v>243</v>
      </c>
      <c r="R51" s="21"/>
      <c r="S51" s="21"/>
      <c r="T51" s="23"/>
      <c r="U51" s="23"/>
      <c r="V51" s="23"/>
      <c r="W51" s="23"/>
      <c r="X51" s="23"/>
      <c r="Y51" s="23"/>
      <c r="Z51" s="23"/>
    </row>
    <row r="52" spans="1:26" ht="22.5" customHeight="1">
      <c r="A52" s="25" t="s">
        <v>285</v>
      </c>
      <c r="B52" s="25" t="s">
        <v>286</v>
      </c>
      <c r="C52" s="25" t="s">
        <v>120</v>
      </c>
      <c r="D52" s="25" t="s">
        <v>122</v>
      </c>
      <c r="E52" s="25" t="s">
        <v>120</v>
      </c>
      <c r="F52" s="25">
        <v>1</v>
      </c>
      <c r="G52" s="25">
        <v>2</v>
      </c>
      <c r="H52" s="25">
        <v>-0.3</v>
      </c>
      <c r="I52" s="25">
        <v>0.7</v>
      </c>
      <c r="J52" s="25" t="s">
        <v>287</v>
      </c>
      <c r="K52" s="25">
        <v>25</v>
      </c>
      <c r="L52" s="26">
        <v>0.13</v>
      </c>
      <c r="M52" s="26">
        <v>0.38</v>
      </c>
      <c r="N52" s="26">
        <v>0.27</v>
      </c>
      <c r="O52" s="26">
        <v>0.22</v>
      </c>
      <c r="P52" s="25">
        <v>1.2</v>
      </c>
      <c r="Q52" s="27" t="s">
        <v>243</v>
      </c>
      <c r="R52" s="21"/>
      <c r="S52" s="21"/>
      <c r="T52" s="23"/>
      <c r="U52" s="23"/>
      <c r="V52" s="23"/>
      <c r="W52" s="23"/>
      <c r="X52" s="23"/>
      <c r="Y52" s="23"/>
      <c r="Z52" s="23"/>
    </row>
    <row r="53" spans="1:26" ht="22.5" customHeight="1">
      <c r="A53" s="25" t="s">
        <v>288</v>
      </c>
      <c r="B53" s="25" t="s">
        <v>289</v>
      </c>
      <c r="C53" s="25" t="s">
        <v>120</v>
      </c>
      <c r="D53" s="25" t="s">
        <v>122</v>
      </c>
      <c r="E53" s="25" t="s">
        <v>120</v>
      </c>
      <c r="F53" s="25">
        <v>0</v>
      </c>
      <c r="G53" s="25">
        <v>1</v>
      </c>
      <c r="H53" s="25">
        <v>-0.6</v>
      </c>
      <c r="I53" s="25">
        <v>0.5</v>
      </c>
      <c r="J53" s="25" t="s">
        <v>290</v>
      </c>
      <c r="K53" s="25">
        <v>45</v>
      </c>
      <c r="L53" s="26">
        <v>0.13</v>
      </c>
      <c r="M53" s="26">
        <v>0.46</v>
      </c>
      <c r="N53" s="26">
        <v>0.26</v>
      </c>
      <c r="O53" s="26">
        <v>0.15</v>
      </c>
      <c r="P53" s="25">
        <v>1.3</v>
      </c>
      <c r="Q53" s="27" t="s">
        <v>243</v>
      </c>
      <c r="R53" s="21"/>
      <c r="S53" s="21"/>
      <c r="T53" s="23"/>
      <c r="U53" s="23"/>
      <c r="V53" s="23"/>
      <c r="W53" s="23"/>
      <c r="X53" s="23"/>
      <c r="Y53" s="23"/>
      <c r="Z53" s="23"/>
    </row>
    <row r="54" spans="1:26" ht="22.5" customHeight="1">
      <c r="A54" s="25" t="s">
        <v>291</v>
      </c>
      <c r="B54" s="25" t="s">
        <v>292</v>
      </c>
      <c r="C54" s="25" t="s">
        <v>120</v>
      </c>
      <c r="D54" s="25" t="s">
        <v>119</v>
      </c>
      <c r="E54" s="25" t="s">
        <v>120</v>
      </c>
      <c r="F54" s="25">
        <v>1</v>
      </c>
      <c r="G54" s="25">
        <v>2</v>
      </c>
      <c r="H54" s="25">
        <v>-0.3</v>
      </c>
      <c r="I54" s="25">
        <v>0.8</v>
      </c>
      <c r="J54" s="25" t="s">
        <v>293</v>
      </c>
      <c r="K54" s="25">
        <v>15</v>
      </c>
      <c r="L54" s="26">
        <v>0.17</v>
      </c>
      <c r="M54" s="26">
        <v>0.33</v>
      </c>
      <c r="N54" s="26">
        <v>0.33</v>
      </c>
      <c r="O54" s="26">
        <v>0.17</v>
      </c>
      <c r="P54" s="25">
        <v>1.1000000000000001</v>
      </c>
      <c r="Q54" s="27" t="s">
        <v>243</v>
      </c>
      <c r="R54" s="21"/>
      <c r="S54" s="21"/>
      <c r="T54" s="23"/>
      <c r="U54" s="23"/>
      <c r="V54" s="23"/>
      <c r="W54" s="23"/>
      <c r="X54" s="23"/>
      <c r="Y54" s="23"/>
      <c r="Z54" s="23"/>
    </row>
    <row r="55" spans="1:26" ht="22.5" customHeight="1">
      <c r="A55" s="25" t="s">
        <v>294</v>
      </c>
      <c r="B55" s="25" t="s">
        <v>295</v>
      </c>
      <c r="C55" s="25" t="s">
        <v>120</v>
      </c>
      <c r="D55" s="25" t="s">
        <v>122</v>
      </c>
      <c r="E55" s="25" t="s">
        <v>120</v>
      </c>
      <c r="F55" s="25">
        <v>0</v>
      </c>
      <c r="G55" s="25">
        <v>2</v>
      </c>
      <c r="H55" s="25">
        <v>0.2</v>
      </c>
      <c r="I55" s="25">
        <v>0.6</v>
      </c>
      <c r="J55" s="25" t="s">
        <v>296</v>
      </c>
      <c r="K55" s="25">
        <v>0</v>
      </c>
      <c r="L55" s="26">
        <v>0</v>
      </c>
      <c r="M55" s="26">
        <v>0.17</v>
      </c>
      <c r="N55" s="26">
        <v>0.33</v>
      </c>
      <c r="O55" s="26">
        <v>0.5</v>
      </c>
      <c r="P55" s="22">
        <v>1</v>
      </c>
      <c r="Q55" s="27" t="s">
        <v>243</v>
      </c>
      <c r="R55" s="21"/>
      <c r="S55" s="21"/>
      <c r="T55" s="23"/>
      <c r="U55" s="23"/>
      <c r="V55" s="23"/>
      <c r="W55" s="23"/>
      <c r="X55" s="23"/>
      <c r="Y55" s="23"/>
      <c r="Z55" s="23"/>
    </row>
    <row r="56" spans="1:26" ht="22.5" customHeight="1">
      <c r="A56" s="25" t="s">
        <v>297</v>
      </c>
      <c r="B56" s="25" t="s">
        <v>298</v>
      </c>
      <c r="C56" s="25" t="s">
        <v>120</v>
      </c>
      <c r="D56" s="25" t="s">
        <v>122</v>
      </c>
      <c r="E56" s="25" t="s">
        <v>120</v>
      </c>
      <c r="F56" s="25">
        <v>1</v>
      </c>
      <c r="G56" s="25">
        <v>2</v>
      </c>
      <c r="H56" s="25">
        <v>-0.8</v>
      </c>
      <c r="I56" s="25">
        <v>0.7</v>
      </c>
      <c r="J56" s="25" t="s">
        <v>299</v>
      </c>
      <c r="K56" s="25">
        <v>65</v>
      </c>
      <c r="L56" s="26">
        <v>0.1</v>
      </c>
      <c r="M56" s="26">
        <v>0.4</v>
      </c>
      <c r="N56" s="26">
        <v>0.25</v>
      </c>
      <c r="O56" s="26">
        <v>0.25</v>
      </c>
      <c r="P56" s="25">
        <v>1.4</v>
      </c>
      <c r="Q56" s="27" t="s">
        <v>243</v>
      </c>
      <c r="R56" s="21"/>
      <c r="S56" s="21"/>
      <c r="T56" s="23"/>
      <c r="U56" s="23"/>
      <c r="V56" s="23"/>
      <c r="W56" s="23"/>
      <c r="X56" s="23"/>
      <c r="Y56" s="23"/>
      <c r="Z56" s="23"/>
    </row>
    <row r="57" spans="1:26" ht="22.5" customHeight="1">
      <c r="A57" s="25" t="s">
        <v>300</v>
      </c>
      <c r="B57" s="25" t="s">
        <v>301</v>
      </c>
      <c r="C57" s="25" t="s">
        <v>120</v>
      </c>
      <c r="D57" s="25" t="s">
        <v>122</v>
      </c>
      <c r="E57" s="25" t="s">
        <v>120</v>
      </c>
      <c r="F57" s="25">
        <v>0</v>
      </c>
      <c r="G57" s="25">
        <v>2</v>
      </c>
      <c r="H57" s="25">
        <v>-0.2</v>
      </c>
      <c r="I57" s="25">
        <v>0.6</v>
      </c>
      <c r="J57" s="25" t="s">
        <v>302</v>
      </c>
      <c r="K57" s="25">
        <v>30</v>
      </c>
      <c r="L57" s="26">
        <v>0.06</v>
      </c>
      <c r="M57" s="26">
        <v>0.44</v>
      </c>
      <c r="N57" s="26">
        <v>0.33</v>
      </c>
      <c r="O57" s="26">
        <v>0.17</v>
      </c>
      <c r="P57" s="25">
        <v>1.1000000000000001</v>
      </c>
      <c r="Q57" s="27" t="s">
        <v>243</v>
      </c>
      <c r="R57" s="21"/>
      <c r="S57" s="21"/>
      <c r="T57" s="23"/>
      <c r="U57" s="23"/>
      <c r="V57" s="23"/>
      <c r="W57" s="23"/>
      <c r="X57" s="23"/>
      <c r="Y57" s="23"/>
      <c r="Z57" s="23"/>
    </row>
    <row r="58" spans="1:26" ht="22.5" customHeight="1">
      <c r="A58" s="25" t="s">
        <v>303</v>
      </c>
      <c r="B58" s="25" t="s">
        <v>304</v>
      </c>
      <c r="C58" s="25" t="s">
        <v>120</v>
      </c>
      <c r="D58" s="25" t="s">
        <v>119</v>
      </c>
      <c r="E58" s="25" t="s">
        <v>120</v>
      </c>
      <c r="F58" s="25">
        <v>2</v>
      </c>
      <c r="G58" s="25">
        <v>4</v>
      </c>
      <c r="H58" s="25">
        <v>0.3</v>
      </c>
      <c r="I58" s="25">
        <v>0.8</v>
      </c>
      <c r="J58" s="25" t="s">
        <v>305</v>
      </c>
      <c r="K58" s="25">
        <v>10</v>
      </c>
      <c r="L58" s="26">
        <v>0.15</v>
      </c>
      <c r="M58" s="26">
        <v>0.21</v>
      </c>
      <c r="N58" s="26">
        <v>0.43</v>
      </c>
      <c r="O58" s="26">
        <v>0.21</v>
      </c>
      <c r="P58" s="25">
        <v>1.4</v>
      </c>
      <c r="Q58" s="27" t="s">
        <v>243</v>
      </c>
      <c r="R58" s="21"/>
      <c r="S58" s="21"/>
      <c r="T58" s="23"/>
      <c r="U58" s="23"/>
      <c r="V58" s="23"/>
      <c r="W58" s="23"/>
      <c r="X58" s="23"/>
      <c r="Y58" s="23"/>
      <c r="Z58" s="23"/>
    </row>
    <row r="59" spans="1:26" ht="22.5" customHeight="1">
      <c r="A59" s="25" t="s">
        <v>306</v>
      </c>
      <c r="B59" s="25" t="s">
        <v>307</v>
      </c>
      <c r="C59" s="25" t="s">
        <v>120</v>
      </c>
      <c r="D59" s="25" t="s">
        <v>122</v>
      </c>
      <c r="E59" s="25" t="s">
        <v>120</v>
      </c>
      <c r="F59" s="25">
        <v>0</v>
      </c>
      <c r="G59" s="25">
        <v>2</v>
      </c>
      <c r="H59" s="25">
        <v>-0.5</v>
      </c>
      <c r="I59" s="25">
        <v>0.5</v>
      </c>
      <c r="J59" s="25" t="s">
        <v>308</v>
      </c>
      <c r="K59" s="25">
        <v>40</v>
      </c>
      <c r="L59" s="26">
        <v>0.18</v>
      </c>
      <c r="M59" s="26">
        <v>0.35</v>
      </c>
      <c r="N59" s="26">
        <v>0.28999999999999998</v>
      </c>
      <c r="O59" s="26">
        <v>0.18</v>
      </c>
      <c r="P59" s="25">
        <v>1.2</v>
      </c>
      <c r="Q59" s="27" t="s">
        <v>243</v>
      </c>
      <c r="R59" s="21"/>
      <c r="S59" s="21"/>
      <c r="T59" s="23"/>
      <c r="U59" s="23"/>
      <c r="V59" s="23"/>
      <c r="W59" s="23"/>
      <c r="X59" s="23"/>
      <c r="Y59" s="23"/>
      <c r="Z59" s="23"/>
    </row>
    <row r="60" spans="1:26" ht="22.5" customHeight="1">
      <c r="A60" s="25" t="s">
        <v>309</v>
      </c>
      <c r="B60" s="25" t="s">
        <v>310</v>
      </c>
      <c r="C60" s="25" t="s">
        <v>120</v>
      </c>
      <c r="D60" s="25" t="s">
        <v>119</v>
      </c>
      <c r="E60" s="25" t="s">
        <v>120</v>
      </c>
      <c r="F60" s="25">
        <v>1</v>
      </c>
      <c r="G60" s="25">
        <v>3</v>
      </c>
      <c r="H60" s="25">
        <v>0.4</v>
      </c>
      <c r="I60" s="22">
        <v>1</v>
      </c>
      <c r="J60" s="25" t="s">
        <v>311</v>
      </c>
      <c r="K60" s="25">
        <v>20</v>
      </c>
      <c r="L60" s="26">
        <v>0.22</v>
      </c>
      <c r="M60" s="26">
        <v>0.34</v>
      </c>
      <c r="N60" s="26">
        <v>0.22</v>
      </c>
      <c r="O60" s="26">
        <v>0.22</v>
      </c>
      <c r="P60" s="25">
        <v>1.5</v>
      </c>
      <c r="Q60" s="27" t="s">
        <v>243</v>
      </c>
      <c r="R60" s="21"/>
      <c r="S60" s="21"/>
      <c r="T60" s="23"/>
      <c r="U60" s="23"/>
      <c r="V60" s="23"/>
      <c r="W60" s="23"/>
      <c r="X60" s="23"/>
      <c r="Y60" s="23"/>
      <c r="Z60" s="23"/>
    </row>
    <row r="61" spans="1:26" ht="22.5" customHeight="1">
      <c r="A61" s="25" t="s">
        <v>312</v>
      </c>
      <c r="B61" s="25" t="s">
        <v>313</v>
      </c>
      <c r="C61" s="25" t="s">
        <v>120</v>
      </c>
      <c r="D61" s="25" t="s">
        <v>122</v>
      </c>
      <c r="E61" s="25" t="s">
        <v>120</v>
      </c>
      <c r="F61" s="25">
        <v>0</v>
      </c>
      <c r="G61" s="25">
        <v>1</v>
      </c>
      <c r="H61" s="25">
        <v>0.2</v>
      </c>
      <c r="I61" s="25">
        <v>0.6</v>
      </c>
      <c r="J61" s="25" t="s">
        <v>314</v>
      </c>
      <c r="K61" s="25">
        <v>15</v>
      </c>
      <c r="L61" s="26">
        <v>0.13</v>
      </c>
      <c r="M61" s="26">
        <v>0.28999999999999998</v>
      </c>
      <c r="N61" s="26">
        <v>0.28999999999999998</v>
      </c>
      <c r="O61" s="26">
        <v>0.28999999999999998</v>
      </c>
      <c r="P61" s="25">
        <v>1.2</v>
      </c>
      <c r="Q61" s="27" t="s">
        <v>243</v>
      </c>
      <c r="R61" s="21"/>
      <c r="S61" s="21"/>
      <c r="T61" s="23"/>
      <c r="U61" s="23"/>
      <c r="V61" s="23"/>
      <c r="W61" s="23"/>
      <c r="X61" s="23"/>
      <c r="Y61" s="23"/>
      <c r="Z61" s="23"/>
    </row>
    <row r="62" spans="1:26" ht="22.5" customHeight="1">
      <c r="A62" s="25" t="s">
        <v>315</v>
      </c>
      <c r="B62" s="25" t="s">
        <v>316</v>
      </c>
      <c r="C62" s="25" t="s">
        <v>120</v>
      </c>
      <c r="D62" s="25" t="s">
        <v>122</v>
      </c>
      <c r="E62" s="25" t="s">
        <v>120</v>
      </c>
      <c r="F62" s="25">
        <v>0</v>
      </c>
      <c r="G62" s="25">
        <v>1</v>
      </c>
      <c r="H62" s="25">
        <v>0.2</v>
      </c>
      <c r="I62" s="25">
        <v>0.4</v>
      </c>
      <c r="J62" s="25" t="s">
        <v>317</v>
      </c>
      <c r="K62" s="25">
        <v>0</v>
      </c>
      <c r="L62" s="26">
        <v>0</v>
      </c>
      <c r="M62" s="26">
        <v>0.4</v>
      </c>
      <c r="N62" s="26">
        <v>0.4</v>
      </c>
      <c r="O62" s="26">
        <v>0.2</v>
      </c>
      <c r="P62" s="22">
        <v>1</v>
      </c>
      <c r="Q62" s="27" t="s">
        <v>243</v>
      </c>
      <c r="R62" s="21"/>
      <c r="S62" s="21"/>
      <c r="T62" s="23"/>
      <c r="U62" s="23"/>
      <c r="V62" s="23"/>
      <c r="W62" s="23"/>
      <c r="X62" s="23"/>
      <c r="Y62" s="23"/>
      <c r="Z62" s="23"/>
    </row>
    <row r="63" spans="1:26" ht="22.5" customHeight="1">
      <c r="A63" s="25" t="s">
        <v>318</v>
      </c>
      <c r="B63" s="25" t="s">
        <v>319</v>
      </c>
      <c r="C63" s="25" t="s">
        <v>120</v>
      </c>
      <c r="D63" s="25" t="s">
        <v>122</v>
      </c>
      <c r="E63" s="25" t="s">
        <v>120</v>
      </c>
      <c r="F63" s="25">
        <v>1</v>
      </c>
      <c r="G63" s="25">
        <v>2</v>
      </c>
      <c r="H63" s="25">
        <v>0.2</v>
      </c>
      <c r="I63" s="25">
        <v>0.7</v>
      </c>
      <c r="J63" s="25" t="s">
        <v>320</v>
      </c>
      <c r="K63" s="25">
        <v>10</v>
      </c>
      <c r="L63" s="26">
        <v>0</v>
      </c>
      <c r="M63" s="26">
        <v>0.25</v>
      </c>
      <c r="N63" s="26">
        <v>0.5</v>
      </c>
      <c r="O63" s="26">
        <v>0.25</v>
      </c>
      <c r="P63" s="25">
        <v>1.1000000000000001</v>
      </c>
      <c r="Q63" s="27" t="s">
        <v>243</v>
      </c>
      <c r="R63" s="21"/>
      <c r="S63" s="21"/>
      <c r="T63" s="23"/>
      <c r="U63" s="23"/>
      <c r="V63" s="23"/>
      <c r="W63" s="23"/>
      <c r="X63" s="23"/>
      <c r="Y63" s="23"/>
      <c r="Z63" s="23"/>
    </row>
    <row r="64" spans="1:26" ht="22.5" customHeight="1">
      <c r="A64" s="25" t="s">
        <v>321</v>
      </c>
      <c r="B64" s="25" t="s">
        <v>322</v>
      </c>
      <c r="C64" s="25" t="s">
        <v>120</v>
      </c>
      <c r="D64" s="25" t="s">
        <v>122</v>
      </c>
      <c r="E64" s="25" t="s">
        <v>120</v>
      </c>
      <c r="F64" s="25">
        <v>0</v>
      </c>
      <c r="G64" s="25">
        <v>1</v>
      </c>
      <c r="H64" s="25">
        <v>0.2</v>
      </c>
      <c r="I64" s="25">
        <v>0.4</v>
      </c>
      <c r="J64" s="25" t="s">
        <v>323</v>
      </c>
      <c r="K64" s="25">
        <v>0</v>
      </c>
      <c r="L64" s="26">
        <v>0</v>
      </c>
      <c r="M64" s="26">
        <v>0.25</v>
      </c>
      <c r="N64" s="26">
        <v>0.5</v>
      </c>
      <c r="O64" s="26">
        <v>0.25</v>
      </c>
      <c r="P64" s="25">
        <v>0.9</v>
      </c>
      <c r="Q64" s="27" t="s">
        <v>243</v>
      </c>
      <c r="R64" s="21"/>
      <c r="S64" s="21"/>
      <c r="T64" s="23"/>
      <c r="U64" s="23"/>
      <c r="V64" s="23"/>
      <c r="W64" s="23"/>
      <c r="X64" s="23"/>
      <c r="Y64" s="23"/>
      <c r="Z64" s="23"/>
    </row>
    <row r="65" spans="1:26" ht="22.5" customHeight="1">
      <c r="A65" s="25" t="s">
        <v>324</v>
      </c>
      <c r="B65" s="25" t="s">
        <v>325</v>
      </c>
      <c r="C65" s="25" t="s">
        <v>120</v>
      </c>
      <c r="D65" s="25" t="s">
        <v>119</v>
      </c>
      <c r="E65" s="25" t="s">
        <v>120</v>
      </c>
      <c r="F65" s="25">
        <v>1</v>
      </c>
      <c r="G65" s="25">
        <v>3</v>
      </c>
      <c r="H65" s="25">
        <v>0.6</v>
      </c>
      <c r="I65" s="25">
        <v>1.2</v>
      </c>
      <c r="J65" s="25" t="s">
        <v>326</v>
      </c>
      <c r="K65" s="25">
        <v>10</v>
      </c>
      <c r="L65" s="26">
        <v>0.13</v>
      </c>
      <c r="M65" s="26">
        <v>0.28999999999999998</v>
      </c>
      <c r="N65" s="26">
        <v>0.28999999999999998</v>
      </c>
      <c r="O65" s="26">
        <v>0.28999999999999998</v>
      </c>
      <c r="P65" s="22">
        <v>1</v>
      </c>
      <c r="Q65" s="27" t="s">
        <v>243</v>
      </c>
      <c r="R65" s="21"/>
      <c r="S65" s="21"/>
      <c r="T65" s="23"/>
      <c r="U65" s="23"/>
      <c r="V65" s="23"/>
      <c r="W65" s="23"/>
      <c r="X65" s="23"/>
      <c r="Y65" s="23"/>
      <c r="Z65" s="23"/>
    </row>
    <row r="66" spans="1:26" ht="22.5" customHeight="1">
      <c r="A66" s="25" t="s">
        <v>327</v>
      </c>
      <c r="B66" s="25" t="s">
        <v>328</v>
      </c>
      <c r="C66" s="25" t="s">
        <v>120</v>
      </c>
      <c r="D66" s="25" t="s">
        <v>119</v>
      </c>
      <c r="E66" s="25" t="s">
        <v>120</v>
      </c>
      <c r="F66" s="25">
        <v>1</v>
      </c>
      <c r="G66" s="25">
        <v>2</v>
      </c>
      <c r="H66" s="25">
        <v>0.3</v>
      </c>
      <c r="I66" s="25">
        <v>0.8</v>
      </c>
      <c r="J66" s="25" t="s">
        <v>329</v>
      </c>
      <c r="K66" s="25">
        <v>0</v>
      </c>
      <c r="L66" s="26">
        <v>0</v>
      </c>
      <c r="M66" s="26">
        <v>0.4</v>
      </c>
      <c r="N66" s="26">
        <v>0.4</v>
      </c>
      <c r="O66" s="26">
        <v>0.2</v>
      </c>
      <c r="P66" s="25">
        <v>0.8</v>
      </c>
      <c r="Q66" s="27" t="s">
        <v>243</v>
      </c>
      <c r="R66" s="21"/>
      <c r="S66" s="21"/>
      <c r="T66" s="23"/>
      <c r="U66" s="23"/>
      <c r="V66" s="23"/>
      <c r="W66" s="23"/>
      <c r="X66" s="23"/>
      <c r="Y66" s="23"/>
      <c r="Z66" s="23"/>
    </row>
    <row r="67" spans="1:26" ht="22.5" customHeight="1">
      <c r="A67" s="25" t="s">
        <v>330</v>
      </c>
      <c r="B67" s="25" t="s">
        <v>331</v>
      </c>
      <c r="C67" s="25" t="s">
        <v>182</v>
      </c>
      <c r="D67" s="25" t="s">
        <v>122</v>
      </c>
      <c r="E67" s="25" t="s">
        <v>182</v>
      </c>
      <c r="F67" s="25">
        <v>0</v>
      </c>
      <c r="G67" s="25">
        <v>2</v>
      </c>
      <c r="H67" s="25">
        <v>0.1</v>
      </c>
      <c r="I67" s="25">
        <v>0.4</v>
      </c>
      <c r="J67" s="25" t="s">
        <v>332</v>
      </c>
      <c r="K67" s="25">
        <v>15</v>
      </c>
      <c r="L67" s="26">
        <v>0</v>
      </c>
      <c r="M67" s="26">
        <v>0.17</v>
      </c>
      <c r="N67" s="26">
        <v>0.66</v>
      </c>
      <c r="O67" s="26">
        <v>0.17</v>
      </c>
      <c r="P67" s="22">
        <v>1</v>
      </c>
      <c r="Q67" s="27" t="s">
        <v>333</v>
      </c>
      <c r="R67" s="21"/>
      <c r="S67" s="21"/>
      <c r="T67" s="23"/>
      <c r="U67" s="23"/>
      <c r="V67" s="23"/>
      <c r="W67" s="23"/>
      <c r="X67" s="23"/>
      <c r="Y67" s="23"/>
      <c r="Z67" s="23"/>
    </row>
    <row r="68" spans="1:26" ht="22.5" customHeight="1">
      <c r="A68" s="25" t="s">
        <v>334</v>
      </c>
      <c r="B68" s="25" t="s">
        <v>335</v>
      </c>
      <c r="C68" s="25" t="s">
        <v>182</v>
      </c>
      <c r="D68" s="25" t="s">
        <v>122</v>
      </c>
      <c r="E68" s="25" t="s">
        <v>182</v>
      </c>
      <c r="F68" s="25">
        <v>0</v>
      </c>
      <c r="G68" s="25">
        <v>1</v>
      </c>
      <c r="H68" s="25">
        <v>0.2</v>
      </c>
      <c r="I68" s="25">
        <v>0.5</v>
      </c>
      <c r="J68" s="25" t="s">
        <v>336</v>
      </c>
      <c r="K68" s="25">
        <v>10</v>
      </c>
      <c r="L68" s="26">
        <v>0</v>
      </c>
      <c r="M68" s="26">
        <v>0</v>
      </c>
      <c r="N68" s="26">
        <v>0.75</v>
      </c>
      <c r="O68" s="26">
        <v>0.25</v>
      </c>
      <c r="P68" s="25">
        <v>0.7</v>
      </c>
      <c r="Q68" s="27" t="s">
        <v>333</v>
      </c>
      <c r="R68" s="21"/>
      <c r="S68" s="21"/>
      <c r="T68" s="23"/>
      <c r="U68" s="23"/>
      <c r="V68" s="23"/>
      <c r="W68" s="23"/>
      <c r="X68" s="23"/>
      <c r="Y68" s="23"/>
      <c r="Z68" s="23"/>
    </row>
    <row r="69" spans="1:26" ht="22.5" customHeight="1">
      <c r="A69" s="25" t="s">
        <v>337</v>
      </c>
      <c r="B69" s="25" t="s">
        <v>338</v>
      </c>
      <c r="C69" s="25" t="s">
        <v>182</v>
      </c>
      <c r="D69" s="25" t="s">
        <v>122</v>
      </c>
      <c r="E69" s="25" t="s">
        <v>182</v>
      </c>
      <c r="F69" s="25">
        <v>0</v>
      </c>
      <c r="G69" s="25">
        <v>2</v>
      </c>
      <c r="H69" s="25">
        <v>0.1</v>
      </c>
      <c r="I69" s="25">
        <v>0.4</v>
      </c>
      <c r="J69" s="25" t="s">
        <v>339</v>
      </c>
      <c r="K69" s="25">
        <v>0</v>
      </c>
      <c r="L69" s="26">
        <v>0</v>
      </c>
      <c r="M69" s="26">
        <v>0.17</v>
      </c>
      <c r="N69" s="26">
        <v>0.66</v>
      </c>
      <c r="O69" s="26">
        <v>0.17</v>
      </c>
      <c r="P69" s="22">
        <v>1</v>
      </c>
      <c r="Q69" s="27" t="s">
        <v>333</v>
      </c>
      <c r="R69" s="21"/>
      <c r="S69" s="21"/>
      <c r="T69" s="23"/>
      <c r="U69" s="23"/>
      <c r="V69" s="23"/>
      <c r="W69" s="23"/>
      <c r="X69" s="23"/>
      <c r="Y69" s="23"/>
      <c r="Z69" s="23"/>
    </row>
    <row r="70" spans="1:26" ht="22.5" customHeight="1">
      <c r="A70" s="25" t="s">
        <v>340</v>
      </c>
      <c r="B70" s="25" t="s">
        <v>341</v>
      </c>
      <c r="C70" s="25" t="s">
        <v>182</v>
      </c>
      <c r="D70" s="25" t="s">
        <v>119</v>
      </c>
      <c r="E70" s="25" t="s">
        <v>182</v>
      </c>
      <c r="F70" s="25">
        <v>1</v>
      </c>
      <c r="G70" s="25">
        <v>3</v>
      </c>
      <c r="H70" s="25">
        <v>0.3</v>
      </c>
      <c r="I70" s="25">
        <v>0.8</v>
      </c>
      <c r="J70" s="25" t="s">
        <v>342</v>
      </c>
      <c r="K70" s="25">
        <v>20</v>
      </c>
      <c r="L70" s="26">
        <v>0.14000000000000001</v>
      </c>
      <c r="M70" s="26">
        <v>0.28999999999999998</v>
      </c>
      <c r="N70" s="26">
        <v>0.43</v>
      </c>
      <c r="O70" s="26">
        <v>0.14000000000000001</v>
      </c>
      <c r="P70" s="25">
        <v>1.2</v>
      </c>
      <c r="Q70" s="27" t="s">
        <v>333</v>
      </c>
      <c r="R70" s="21"/>
      <c r="S70" s="21"/>
      <c r="T70" s="23"/>
      <c r="U70" s="23"/>
      <c r="V70" s="23"/>
      <c r="W70" s="23"/>
      <c r="X70" s="23"/>
      <c r="Y70" s="23"/>
      <c r="Z70" s="23"/>
    </row>
    <row r="71" spans="1:26" ht="22.5" customHeight="1">
      <c r="A71" s="25" t="s">
        <v>343</v>
      </c>
      <c r="B71" s="25" t="s">
        <v>344</v>
      </c>
      <c r="C71" s="25" t="s">
        <v>182</v>
      </c>
      <c r="D71" s="25" t="s">
        <v>122</v>
      </c>
      <c r="E71" s="25" t="s">
        <v>182</v>
      </c>
      <c r="F71" s="25">
        <v>0</v>
      </c>
      <c r="G71" s="25">
        <v>1</v>
      </c>
      <c r="H71" s="25">
        <v>0.1</v>
      </c>
      <c r="I71" s="25">
        <v>0.3</v>
      </c>
      <c r="J71" s="25" t="s">
        <v>345</v>
      </c>
      <c r="K71" s="25">
        <v>0</v>
      </c>
      <c r="L71" s="26">
        <v>0</v>
      </c>
      <c r="M71" s="26">
        <v>0.17</v>
      </c>
      <c r="N71" s="26">
        <v>0.66</v>
      </c>
      <c r="O71" s="26">
        <v>0.17</v>
      </c>
      <c r="P71" s="22">
        <v>1</v>
      </c>
      <c r="Q71" s="27" t="s">
        <v>333</v>
      </c>
      <c r="R71" s="21"/>
      <c r="S71" s="21"/>
      <c r="T71" s="23"/>
      <c r="U71" s="23"/>
      <c r="V71" s="23"/>
      <c r="W71" s="23"/>
      <c r="X71" s="23"/>
      <c r="Y71" s="23"/>
      <c r="Z71" s="23"/>
    </row>
    <row r="72" spans="1:26" ht="22.5" customHeight="1">
      <c r="A72" s="25" t="s">
        <v>346</v>
      </c>
      <c r="B72" s="25" t="s">
        <v>347</v>
      </c>
      <c r="C72" s="25" t="s">
        <v>182</v>
      </c>
      <c r="D72" s="25" t="s">
        <v>122</v>
      </c>
      <c r="E72" s="25" t="s">
        <v>182</v>
      </c>
      <c r="F72" s="25">
        <v>1</v>
      </c>
      <c r="G72" s="25">
        <v>2</v>
      </c>
      <c r="H72" s="25">
        <v>0.2</v>
      </c>
      <c r="I72" s="25">
        <v>0.6</v>
      </c>
      <c r="J72" s="25" t="s">
        <v>348</v>
      </c>
      <c r="K72" s="25">
        <v>5</v>
      </c>
      <c r="L72" s="26">
        <v>0.1</v>
      </c>
      <c r="M72" s="26">
        <v>0.3</v>
      </c>
      <c r="N72" s="26">
        <v>0.4</v>
      </c>
      <c r="O72" s="26">
        <v>0.2</v>
      </c>
      <c r="P72" s="25">
        <v>1.1000000000000001</v>
      </c>
      <c r="Q72" s="27" t="s">
        <v>333</v>
      </c>
      <c r="R72" s="21"/>
      <c r="S72" s="21"/>
      <c r="T72" s="23"/>
      <c r="U72" s="23"/>
      <c r="V72" s="23"/>
      <c r="W72" s="23"/>
      <c r="X72" s="23"/>
      <c r="Y72" s="23"/>
      <c r="Z72" s="23"/>
    </row>
    <row r="73" spans="1:26" ht="22.5" customHeight="1">
      <c r="A73" s="25" t="s">
        <v>349</v>
      </c>
      <c r="B73" s="25" t="s">
        <v>350</v>
      </c>
      <c r="C73" s="25" t="s">
        <v>182</v>
      </c>
      <c r="D73" s="25" t="s">
        <v>122</v>
      </c>
      <c r="E73" s="25" t="s">
        <v>182</v>
      </c>
      <c r="F73" s="25">
        <v>0</v>
      </c>
      <c r="G73" s="25">
        <v>2</v>
      </c>
      <c r="H73" s="25">
        <v>0.1</v>
      </c>
      <c r="I73" s="25">
        <v>0.4</v>
      </c>
      <c r="J73" s="25" t="s">
        <v>351</v>
      </c>
      <c r="K73" s="25">
        <v>0</v>
      </c>
      <c r="L73" s="26">
        <v>0</v>
      </c>
      <c r="M73" s="26">
        <v>0.17</v>
      </c>
      <c r="N73" s="26">
        <v>0.66</v>
      </c>
      <c r="O73" s="26">
        <v>0.17</v>
      </c>
      <c r="P73" s="25">
        <v>1.2</v>
      </c>
      <c r="Q73" s="27" t="s">
        <v>333</v>
      </c>
      <c r="R73" s="21"/>
      <c r="S73" s="21"/>
      <c r="T73" s="23"/>
      <c r="U73" s="23"/>
      <c r="V73" s="23"/>
      <c r="W73" s="23"/>
      <c r="X73" s="23"/>
      <c r="Y73" s="23"/>
      <c r="Z73" s="23"/>
    </row>
    <row r="74" spans="1:26" ht="22.5" customHeight="1">
      <c r="A74" s="25" t="s">
        <v>352</v>
      </c>
      <c r="B74" s="25" t="s">
        <v>353</v>
      </c>
      <c r="C74" s="25" t="s">
        <v>182</v>
      </c>
      <c r="D74" s="25" t="s">
        <v>119</v>
      </c>
      <c r="E74" s="25" t="s">
        <v>182</v>
      </c>
      <c r="F74" s="25">
        <v>1</v>
      </c>
      <c r="G74" s="25">
        <v>3</v>
      </c>
      <c r="H74" s="25">
        <v>0.3</v>
      </c>
      <c r="I74" s="25">
        <v>0.7</v>
      </c>
      <c r="J74" s="25" t="s">
        <v>354</v>
      </c>
      <c r="K74" s="25">
        <v>0</v>
      </c>
      <c r="L74" s="26">
        <v>0</v>
      </c>
      <c r="M74" s="26">
        <v>0</v>
      </c>
      <c r="N74" s="26">
        <v>0.71</v>
      </c>
      <c r="O74" s="26">
        <v>0.28999999999999998</v>
      </c>
      <c r="P74" s="25">
        <v>0.7</v>
      </c>
      <c r="Q74" s="27" t="s">
        <v>333</v>
      </c>
      <c r="R74" s="21"/>
      <c r="S74" s="21"/>
      <c r="T74" s="23"/>
      <c r="U74" s="23"/>
      <c r="V74" s="23"/>
      <c r="W74" s="23"/>
      <c r="X74" s="23"/>
      <c r="Y74" s="23"/>
      <c r="Z74" s="23"/>
    </row>
    <row r="75" spans="1:26" ht="22.5" customHeight="1">
      <c r="A75" s="25" t="s">
        <v>355</v>
      </c>
      <c r="B75" s="25" t="s">
        <v>356</v>
      </c>
      <c r="C75" s="25" t="s">
        <v>182</v>
      </c>
      <c r="D75" s="25" t="s">
        <v>119</v>
      </c>
      <c r="E75" s="25" t="s">
        <v>182</v>
      </c>
      <c r="F75" s="25">
        <v>0</v>
      </c>
      <c r="G75" s="25">
        <v>1</v>
      </c>
      <c r="H75" s="25">
        <v>0.2</v>
      </c>
      <c r="I75" s="25">
        <v>0.5</v>
      </c>
      <c r="J75" s="25" t="s">
        <v>357</v>
      </c>
      <c r="K75" s="25">
        <v>10</v>
      </c>
      <c r="L75" s="26">
        <v>0.14000000000000001</v>
      </c>
      <c r="M75" s="26">
        <v>0.28999999999999998</v>
      </c>
      <c r="N75" s="26">
        <v>0.36</v>
      </c>
      <c r="O75" s="26">
        <v>0.21</v>
      </c>
      <c r="P75" s="22">
        <v>1</v>
      </c>
      <c r="Q75" s="27" t="s">
        <v>333</v>
      </c>
      <c r="R75" s="21"/>
      <c r="S75" s="21"/>
      <c r="T75" s="23"/>
      <c r="U75" s="23"/>
      <c r="V75" s="23"/>
      <c r="W75" s="23"/>
      <c r="X75" s="23"/>
      <c r="Y75" s="23"/>
      <c r="Z75" s="23"/>
    </row>
    <row r="76" spans="1:26" ht="22.5" customHeight="1">
      <c r="A76" s="25" t="s">
        <v>358</v>
      </c>
      <c r="B76" s="25" t="s">
        <v>359</v>
      </c>
      <c r="C76" s="25" t="s">
        <v>182</v>
      </c>
      <c r="D76" s="25" t="s">
        <v>119</v>
      </c>
      <c r="E76" s="25" t="s">
        <v>182</v>
      </c>
      <c r="F76" s="25">
        <v>1</v>
      </c>
      <c r="G76" s="25">
        <v>3</v>
      </c>
      <c r="H76" s="25">
        <v>0.4</v>
      </c>
      <c r="I76" s="22">
        <v>1</v>
      </c>
      <c r="J76" s="25" t="s">
        <v>360</v>
      </c>
      <c r="K76" s="25">
        <v>0</v>
      </c>
      <c r="L76" s="26">
        <v>0</v>
      </c>
      <c r="M76" s="26">
        <v>0.17</v>
      </c>
      <c r="N76" s="26">
        <v>0.66</v>
      </c>
      <c r="O76" s="26">
        <v>0.17</v>
      </c>
      <c r="P76" s="25">
        <v>1.3</v>
      </c>
      <c r="Q76" s="27" t="s">
        <v>333</v>
      </c>
      <c r="R76" s="21"/>
      <c r="S76" s="21"/>
      <c r="T76" s="23"/>
      <c r="U76" s="23"/>
      <c r="V76" s="23"/>
      <c r="W76" s="23"/>
      <c r="X76" s="23"/>
      <c r="Y76" s="23"/>
      <c r="Z76" s="23"/>
    </row>
    <row r="77" spans="1:26" ht="22.5" customHeight="1">
      <c r="A77" s="25" t="s">
        <v>361</v>
      </c>
      <c r="B77" s="25" t="s">
        <v>362</v>
      </c>
      <c r="C77" s="25" t="s">
        <v>363</v>
      </c>
      <c r="D77" s="25" t="s">
        <v>119</v>
      </c>
      <c r="E77" s="25" t="s">
        <v>363</v>
      </c>
      <c r="F77" s="25">
        <v>1</v>
      </c>
      <c r="G77" s="25">
        <v>3</v>
      </c>
      <c r="H77" s="25">
        <v>0.5</v>
      </c>
      <c r="I77" s="22">
        <v>1</v>
      </c>
      <c r="J77" s="25" t="s">
        <v>364</v>
      </c>
      <c r="K77" s="25">
        <v>0</v>
      </c>
      <c r="L77" s="26">
        <v>0</v>
      </c>
      <c r="M77" s="26">
        <v>0.4</v>
      </c>
      <c r="N77" s="26">
        <v>0.4</v>
      </c>
      <c r="O77" s="26">
        <v>0.2</v>
      </c>
      <c r="P77" s="25">
        <v>0.9</v>
      </c>
      <c r="Q77" s="27" t="s">
        <v>365</v>
      </c>
      <c r="R77" s="21"/>
      <c r="S77" s="21"/>
      <c r="T77" s="23"/>
      <c r="U77" s="23"/>
      <c r="V77" s="23"/>
      <c r="W77" s="23"/>
      <c r="X77" s="23"/>
      <c r="Y77" s="23"/>
      <c r="Z77" s="23"/>
    </row>
    <row r="78" spans="1:26" ht="22.5" customHeight="1">
      <c r="A78" s="25" t="s">
        <v>366</v>
      </c>
      <c r="B78" s="25" t="s">
        <v>367</v>
      </c>
      <c r="C78" s="25" t="s">
        <v>363</v>
      </c>
      <c r="D78" s="25" t="s">
        <v>122</v>
      </c>
      <c r="E78" s="25" t="s">
        <v>363</v>
      </c>
      <c r="F78" s="25">
        <v>0</v>
      </c>
      <c r="G78" s="25">
        <v>1</v>
      </c>
      <c r="H78" s="25">
        <v>0.4</v>
      </c>
      <c r="I78" s="22">
        <v>1</v>
      </c>
      <c r="J78" s="25" t="s">
        <v>368</v>
      </c>
      <c r="K78" s="25">
        <v>0</v>
      </c>
      <c r="L78" s="26">
        <v>0</v>
      </c>
      <c r="M78" s="26">
        <v>0.11</v>
      </c>
      <c r="N78" s="26">
        <v>0.78</v>
      </c>
      <c r="O78" s="26">
        <v>0.11</v>
      </c>
      <c r="P78" s="25">
        <v>1.1000000000000001</v>
      </c>
      <c r="Q78" s="27" t="s">
        <v>365</v>
      </c>
      <c r="R78" s="21"/>
      <c r="S78" s="21"/>
      <c r="T78" s="23"/>
      <c r="U78" s="23"/>
      <c r="V78" s="23"/>
      <c r="W78" s="23"/>
      <c r="X78" s="23"/>
      <c r="Y78" s="23"/>
      <c r="Z78" s="23"/>
    </row>
    <row r="79" spans="1:26" ht="22.5" customHeight="1">
      <c r="A79" s="25" t="s">
        <v>369</v>
      </c>
      <c r="B79" s="25" t="s">
        <v>370</v>
      </c>
      <c r="C79" s="25" t="s">
        <v>363</v>
      </c>
      <c r="D79" s="25" t="s">
        <v>119</v>
      </c>
      <c r="E79" s="25" t="s">
        <v>363</v>
      </c>
      <c r="F79" s="25">
        <v>0</v>
      </c>
      <c r="G79" s="25">
        <v>2</v>
      </c>
      <c r="H79" s="25">
        <v>0.5</v>
      </c>
      <c r="I79" s="22">
        <v>1</v>
      </c>
      <c r="J79" s="25" t="s">
        <v>371</v>
      </c>
      <c r="K79" s="25">
        <v>0</v>
      </c>
      <c r="L79" s="26">
        <v>0</v>
      </c>
      <c r="M79" s="26">
        <v>0.3</v>
      </c>
      <c r="N79" s="26">
        <v>0.4</v>
      </c>
      <c r="O79" s="26">
        <v>0.3</v>
      </c>
      <c r="P79" s="25">
        <v>1.3</v>
      </c>
      <c r="Q79" s="27" t="s">
        <v>365</v>
      </c>
      <c r="R79" s="21"/>
      <c r="S79" s="21"/>
      <c r="T79" s="23"/>
      <c r="U79" s="23"/>
      <c r="V79" s="23"/>
      <c r="W79" s="23"/>
      <c r="X79" s="23"/>
      <c r="Y79" s="23"/>
      <c r="Z79" s="23"/>
    </row>
    <row r="80" spans="1:26" ht="22.5" customHeight="1">
      <c r="A80" s="25" t="s">
        <v>372</v>
      </c>
      <c r="B80" s="25" t="s">
        <v>373</v>
      </c>
      <c r="C80" s="25" t="s">
        <v>363</v>
      </c>
      <c r="D80" s="25" t="s">
        <v>122</v>
      </c>
      <c r="E80" s="25" t="s">
        <v>363</v>
      </c>
      <c r="F80" s="25">
        <v>0</v>
      </c>
      <c r="G80" s="25">
        <v>2</v>
      </c>
      <c r="H80" s="25">
        <v>0.3</v>
      </c>
      <c r="I80" s="25">
        <v>0.7</v>
      </c>
      <c r="J80" s="25" t="s">
        <v>374</v>
      </c>
      <c r="K80" s="25">
        <v>0</v>
      </c>
      <c r="L80" s="26">
        <v>0</v>
      </c>
      <c r="M80" s="26">
        <v>0.4</v>
      </c>
      <c r="N80" s="26">
        <v>0.3</v>
      </c>
      <c r="O80" s="26">
        <v>0.3</v>
      </c>
      <c r="P80" s="22">
        <v>1</v>
      </c>
      <c r="Q80" s="27" t="s">
        <v>365</v>
      </c>
      <c r="R80" s="21"/>
      <c r="S80" s="21"/>
      <c r="T80" s="23"/>
      <c r="U80" s="23"/>
      <c r="V80" s="23"/>
      <c r="W80" s="23"/>
      <c r="X80" s="23"/>
      <c r="Y80" s="23"/>
      <c r="Z80" s="23"/>
    </row>
    <row r="81" spans="1:26" ht="22.5" customHeight="1">
      <c r="A81" s="25" t="s">
        <v>375</v>
      </c>
      <c r="B81" s="25" t="s">
        <v>376</v>
      </c>
      <c r="C81" s="25" t="s">
        <v>363</v>
      </c>
      <c r="D81" s="25" t="s">
        <v>122</v>
      </c>
      <c r="E81" s="25" t="s">
        <v>363</v>
      </c>
      <c r="F81" s="25">
        <v>0</v>
      </c>
      <c r="G81" s="25">
        <v>1</v>
      </c>
      <c r="H81" s="25">
        <v>0.2</v>
      </c>
      <c r="I81" s="25">
        <v>0.6</v>
      </c>
      <c r="J81" s="25" t="s">
        <v>377</v>
      </c>
      <c r="K81" s="25">
        <v>0</v>
      </c>
      <c r="L81" s="26">
        <v>0</v>
      </c>
      <c r="M81" s="26">
        <v>0.33</v>
      </c>
      <c r="N81" s="26">
        <v>0.34</v>
      </c>
      <c r="O81" s="26">
        <v>0.33</v>
      </c>
      <c r="P81" s="25">
        <v>0.9</v>
      </c>
      <c r="Q81" s="27" t="s">
        <v>365</v>
      </c>
      <c r="R81" s="21"/>
      <c r="S81" s="21"/>
      <c r="T81" s="23"/>
      <c r="U81" s="23"/>
      <c r="V81" s="23"/>
      <c r="W81" s="23"/>
      <c r="X81" s="23"/>
      <c r="Y81" s="23"/>
      <c r="Z81" s="23"/>
    </row>
    <row r="82" spans="1:26" ht="22.5" customHeight="1">
      <c r="A82" s="25" t="s">
        <v>378</v>
      </c>
      <c r="B82" s="25" t="s">
        <v>379</v>
      </c>
      <c r="C82" s="25" t="s">
        <v>363</v>
      </c>
      <c r="D82" s="25" t="s">
        <v>119</v>
      </c>
      <c r="E82" s="25" t="s">
        <v>363</v>
      </c>
      <c r="F82" s="25">
        <v>1</v>
      </c>
      <c r="G82" s="25">
        <v>3</v>
      </c>
      <c r="H82" s="25">
        <v>0.6</v>
      </c>
      <c r="I82" s="25">
        <v>1.5</v>
      </c>
      <c r="J82" s="25" t="s">
        <v>380</v>
      </c>
      <c r="K82" s="25">
        <v>0</v>
      </c>
      <c r="L82" s="26">
        <v>0</v>
      </c>
      <c r="M82" s="26">
        <v>0.22</v>
      </c>
      <c r="N82" s="26">
        <v>0.56000000000000005</v>
      </c>
      <c r="O82" s="26">
        <v>0.22</v>
      </c>
      <c r="P82" s="25">
        <v>1.1000000000000001</v>
      </c>
      <c r="Q82" s="27" t="s">
        <v>365</v>
      </c>
      <c r="R82" s="21"/>
      <c r="S82" s="21"/>
      <c r="T82" s="23"/>
      <c r="U82" s="23"/>
      <c r="V82" s="23"/>
      <c r="W82" s="23"/>
      <c r="X82" s="23"/>
      <c r="Y82" s="23"/>
      <c r="Z82" s="23"/>
    </row>
    <row r="83" spans="1:26" ht="22.5" customHeight="1">
      <c r="A83" s="25" t="s">
        <v>381</v>
      </c>
      <c r="B83" s="25" t="s">
        <v>185</v>
      </c>
      <c r="C83" s="25" t="s">
        <v>182</v>
      </c>
      <c r="D83" s="25" t="s">
        <v>122</v>
      </c>
      <c r="E83" s="25" t="s">
        <v>186</v>
      </c>
      <c r="F83" s="25">
        <v>1</v>
      </c>
      <c r="G83" s="25">
        <v>2</v>
      </c>
      <c r="H83" s="25">
        <v>-0.4</v>
      </c>
      <c r="I83" s="25">
        <v>1.1000000000000001</v>
      </c>
      <c r="J83" s="25" t="s">
        <v>187</v>
      </c>
      <c r="K83" s="25">
        <v>60</v>
      </c>
      <c r="L83" s="26">
        <v>0.2</v>
      </c>
      <c r="M83" s="26">
        <v>0.1</v>
      </c>
      <c r="N83" s="26">
        <v>0.6</v>
      </c>
      <c r="O83" s="26">
        <v>0.1</v>
      </c>
      <c r="P83" s="25">
        <v>1.2</v>
      </c>
      <c r="Q83" s="27" t="s">
        <v>382</v>
      </c>
      <c r="R83" s="21"/>
      <c r="S83" s="21"/>
      <c r="T83" s="23"/>
      <c r="U83" s="23"/>
      <c r="V83" s="23"/>
      <c r="W83" s="23"/>
      <c r="X83" s="23"/>
      <c r="Y83" s="23"/>
      <c r="Z83" s="23"/>
    </row>
    <row r="84" spans="1:26" ht="22.5" customHeight="1">
      <c r="A84" s="25" t="s">
        <v>383</v>
      </c>
      <c r="B84" s="25" t="s">
        <v>384</v>
      </c>
      <c r="C84" s="25" t="s">
        <v>186</v>
      </c>
      <c r="D84" s="25" t="s">
        <v>119</v>
      </c>
      <c r="E84" s="25" t="s">
        <v>186</v>
      </c>
      <c r="F84" s="25">
        <v>1</v>
      </c>
      <c r="G84" s="25">
        <v>2</v>
      </c>
      <c r="H84" s="25">
        <v>0.5</v>
      </c>
      <c r="I84" s="25">
        <v>1.1000000000000001</v>
      </c>
      <c r="J84" s="25" t="s">
        <v>385</v>
      </c>
      <c r="K84" s="25">
        <v>35</v>
      </c>
      <c r="L84" s="26">
        <v>0.13</v>
      </c>
      <c r="M84" s="26">
        <v>0.28999999999999998</v>
      </c>
      <c r="N84" s="26">
        <v>0.28999999999999998</v>
      </c>
      <c r="O84" s="26">
        <v>0.28999999999999998</v>
      </c>
      <c r="P84" s="25">
        <v>1.3</v>
      </c>
      <c r="Q84" s="27" t="s">
        <v>382</v>
      </c>
      <c r="R84" s="21"/>
      <c r="S84" s="21"/>
      <c r="T84" s="23"/>
      <c r="U84" s="23"/>
      <c r="V84" s="23"/>
      <c r="W84" s="23"/>
      <c r="X84" s="23"/>
      <c r="Y84" s="23"/>
      <c r="Z84" s="23"/>
    </row>
    <row r="85" spans="1:26" ht="22.5" customHeight="1">
      <c r="A85" s="25" t="s">
        <v>386</v>
      </c>
      <c r="B85" s="25" t="s">
        <v>387</v>
      </c>
      <c r="C85" s="25" t="s">
        <v>186</v>
      </c>
      <c r="D85" s="25" t="s">
        <v>148</v>
      </c>
      <c r="E85" s="25" t="s">
        <v>186</v>
      </c>
      <c r="F85" s="25">
        <v>0</v>
      </c>
      <c r="G85" s="25">
        <v>1</v>
      </c>
      <c r="H85" s="25">
        <v>0.1</v>
      </c>
      <c r="I85" s="25">
        <v>0.3</v>
      </c>
      <c r="J85" s="25" t="s">
        <v>388</v>
      </c>
      <c r="K85" s="25">
        <v>0</v>
      </c>
      <c r="L85" s="26">
        <v>0</v>
      </c>
      <c r="M85" s="26">
        <v>0.17</v>
      </c>
      <c r="N85" s="26">
        <v>0.33</v>
      </c>
      <c r="O85" s="26">
        <v>0.5</v>
      </c>
      <c r="P85" s="25">
        <v>1.1000000000000001</v>
      </c>
      <c r="Q85" s="27" t="s">
        <v>382</v>
      </c>
      <c r="R85" s="21"/>
      <c r="S85" s="21"/>
      <c r="T85" s="23"/>
      <c r="U85" s="23"/>
      <c r="V85" s="23"/>
      <c r="W85" s="23"/>
      <c r="X85" s="23"/>
      <c r="Y85" s="23"/>
      <c r="Z85" s="23"/>
    </row>
    <row r="86" spans="1:26" ht="22.5" customHeight="1">
      <c r="A86" s="25" t="s">
        <v>389</v>
      </c>
      <c r="B86" s="25" t="s">
        <v>390</v>
      </c>
      <c r="C86" s="25" t="s">
        <v>186</v>
      </c>
      <c r="D86" s="25" t="s">
        <v>122</v>
      </c>
      <c r="E86" s="25" t="s">
        <v>186</v>
      </c>
      <c r="F86" s="25">
        <v>1</v>
      </c>
      <c r="G86" s="25">
        <v>2</v>
      </c>
      <c r="H86" s="25">
        <v>-0.3</v>
      </c>
      <c r="I86" s="25">
        <v>0.8</v>
      </c>
      <c r="J86" s="25" t="s">
        <v>391</v>
      </c>
      <c r="K86" s="25">
        <v>20</v>
      </c>
      <c r="L86" s="26">
        <v>0.11</v>
      </c>
      <c r="M86" s="26">
        <v>0.33</v>
      </c>
      <c r="N86" s="26">
        <v>0.28000000000000003</v>
      </c>
      <c r="O86" s="26">
        <v>0.28000000000000003</v>
      </c>
      <c r="P86" s="25">
        <v>1.2</v>
      </c>
      <c r="Q86" s="27" t="s">
        <v>382</v>
      </c>
      <c r="R86" s="21"/>
      <c r="S86" s="21"/>
      <c r="T86" s="23"/>
      <c r="U86" s="23"/>
      <c r="V86" s="23"/>
      <c r="W86" s="23"/>
      <c r="X86" s="23"/>
      <c r="Y86" s="23"/>
      <c r="Z86" s="23"/>
    </row>
    <row r="87" spans="1:26" ht="22.5" customHeight="1">
      <c r="A87" s="25" t="s">
        <v>392</v>
      </c>
      <c r="B87" s="25" t="s">
        <v>393</v>
      </c>
      <c r="C87" s="25" t="s">
        <v>186</v>
      </c>
      <c r="D87" s="25" t="s">
        <v>122</v>
      </c>
      <c r="E87" s="25" t="s">
        <v>186</v>
      </c>
      <c r="F87" s="25">
        <v>0</v>
      </c>
      <c r="G87" s="25">
        <v>2</v>
      </c>
      <c r="H87" s="25">
        <v>0.2</v>
      </c>
      <c r="I87" s="25">
        <v>0.6</v>
      </c>
      <c r="J87" s="25" t="s">
        <v>394</v>
      </c>
      <c r="K87" s="25">
        <v>10</v>
      </c>
      <c r="L87" s="26">
        <v>0.14000000000000001</v>
      </c>
      <c r="M87" s="26">
        <v>0.14000000000000001</v>
      </c>
      <c r="N87" s="26">
        <v>0.43</v>
      </c>
      <c r="O87" s="26">
        <v>0.28999999999999998</v>
      </c>
      <c r="P87" s="22">
        <v>1</v>
      </c>
      <c r="Q87" s="27" t="s">
        <v>382</v>
      </c>
      <c r="R87" s="21"/>
      <c r="S87" s="21"/>
      <c r="T87" s="23"/>
      <c r="U87" s="23"/>
      <c r="V87" s="23"/>
      <c r="W87" s="23"/>
      <c r="X87" s="23"/>
      <c r="Y87" s="23"/>
      <c r="Z87" s="23"/>
    </row>
    <row r="88" spans="1:26" ht="22.5" customHeight="1">
      <c r="A88" s="25" t="s">
        <v>395</v>
      </c>
      <c r="B88" s="25" t="s">
        <v>396</v>
      </c>
      <c r="C88" s="25" t="s">
        <v>186</v>
      </c>
      <c r="D88" s="25" t="s">
        <v>119</v>
      </c>
      <c r="E88" s="25" t="s">
        <v>186</v>
      </c>
      <c r="F88" s="25">
        <v>1</v>
      </c>
      <c r="G88" s="25">
        <v>3</v>
      </c>
      <c r="H88" s="25">
        <v>0.5</v>
      </c>
      <c r="I88" s="25">
        <v>1.1000000000000001</v>
      </c>
      <c r="J88" s="25" t="s">
        <v>397</v>
      </c>
      <c r="K88" s="25">
        <v>30</v>
      </c>
      <c r="L88" s="26">
        <v>0.13</v>
      </c>
      <c r="M88" s="26">
        <v>0.28999999999999998</v>
      </c>
      <c r="N88" s="26">
        <v>0.28999999999999998</v>
      </c>
      <c r="O88" s="26">
        <v>0.28999999999999998</v>
      </c>
      <c r="P88" s="25">
        <v>1.4</v>
      </c>
      <c r="Q88" s="27" t="s">
        <v>382</v>
      </c>
      <c r="R88" s="21"/>
      <c r="S88" s="21"/>
      <c r="T88" s="23"/>
      <c r="U88" s="23"/>
      <c r="V88" s="23"/>
      <c r="W88" s="23"/>
      <c r="X88" s="23"/>
      <c r="Y88" s="23"/>
      <c r="Z88" s="23"/>
    </row>
    <row r="89" spans="1:26" ht="22.5" customHeight="1">
      <c r="A89" s="25" t="s">
        <v>398</v>
      </c>
      <c r="B89" s="25" t="s">
        <v>399</v>
      </c>
      <c r="C89" s="25" t="s">
        <v>186</v>
      </c>
      <c r="D89" s="25" t="s">
        <v>119</v>
      </c>
      <c r="E89" s="25" t="s">
        <v>186</v>
      </c>
      <c r="F89" s="25">
        <v>1</v>
      </c>
      <c r="G89" s="25">
        <v>2</v>
      </c>
      <c r="H89" s="25">
        <v>0.4</v>
      </c>
      <c r="I89" s="25">
        <v>0.8</v>
      </c>
      <c r="J89" s="25" t="s">
        <v>400</v>
      </c>
      <c r="K89" s="25">
        <v>25</v>
      </c>
      <c r="L89" s="26">
        <v>0.13</v>
      </c>
      <c r="M89" s="26">
        <v>0.33</v>
      </c>
      <c r="N89" s="26">
        <v>0.27</v>
      </c>
      <c r="O89" s="26">
        <v>0.27</v>
      </c>
      <c r="P89" s="25">
        <v>1.3</v>
      </c>
      <c r="Q89" s="27" t="s">
        <v>382</v>
      </c>
      <c r="R89" s="21"/>
      <c r="S89" s="21"/>
      <c r="T89" s="23"/>
      <c r="U89" s="23"/>
      <c r="V89" s="23"/>
      <c r="W89" s="23"/>
      <c r="X89" s="23"/>
      <c r="Y89" s="23"/>
      <c r="Z89" s="23"/>
    </row>
    <row r="90" spans="1:26" ht="22.5" customHeight="1">
      <c r="A90" s="25" t="s">
        <v>401</v>
      </c>
      <c r="B90" s="25" t="s">
        <v>402</v>
      </c>
      <c r="C90" s="25" t="s">
        <v>186</v>
      </c>
      <c r="D90" s="25" t="s">
        <v>122</v>
      </c>
      <c r="E90" s="25" t="s">
        <v>186</v>
      </c>
      <c r="F90" s="25">
        <v>1</v>
      </c>
      <c r="G90" s="25">
        <v>2</v>
      </c>
      <c r="H90" s="25">
        <v>0.3</v>
      </c>
      <c r="I90" s="25">
        <v>0.7</v>
      </c>
      <c r="J90" s="25" t="s">
        <v>403</v>
      </c>
      <c r="K90" s="25">
        <v>20</v>
      </c>
      <c r="L90" s="26">
        <v>0.13</v>
      </c>
      <c r="M90" s="26">
        <v>0.28999999999999998</v>
      </c>
      <c r="N90" s="26">
        <v>0.28999999999999998</v>
      </c>
      <c r="O90" s="26">
        <v>0.28999999999999998</v>
      </c>
      <c r="P90" s="25">
        <v>1.2</v>
      </c>
      <c r="Q90" s="27" t="s">
        <v>382</v>
      </c>
      <c r="R90" s="21"/>
      <c r="S90" s="21"/>
      <c r="T90" s="23"/>
      <c r="U90" s="23"/>
      <c r="V90" s="23"/>
      <c r="W90" s="23"/>
      <c r="X90" s="23"/>
      <c r="Y90" s="23"/>
      <c r="Z90" s="23"/>
    </row>
    <row r="91" spans="1:26" ht="22.5" customHeight="1">
      <c r="A91" s="25" t="s">
        <v>404</v>
      </c>
      <c r="B91" s="25" t="s">
        <v>405</v>
      </c>
      <c r="C91" s="25" t="s">
        <v>186</v>
      </c>
      <c r="D91" s="25" t="s">
        <v>122</v>
      </c>
      <c r="E91" s="25" t="s">
        <v>186</v>
      </c>
      <c r="F91" s="25">
        <v>0</v>
      </c>
      <c r="G91" s="25">
        <v>2</v>
      </c>
      <c r="H91" s="25">
        <v>0.3</v>
      </c>
      <c r="I91" s="25">
        <v>0.8</v>
      </c>
      <c r="J91" s="25" t="s">
        <v>406</v>
      </c>
      <c r="K91" s="25">
        <v>0</v>
      </c>
      <c r="L91" s="26">
        <v>0</v>
      </c>
      <c r="M91" s="26">
        <v>0.17</v>
      </c>
      <c r="N91" s="26">
        <v>0.5</v>
      </c>
      <c r="O91" s="26">
        <v>0.33</v>
      </c>
      <c r="P91" s="25">
        <v>1.1000000000000001</v>
      </c>
      <c r="Q91" s="27" t="s">
        <v>382</v>
      </c>
      <c r="R91" s="21"/>
      <c r="S91" s="21"/>
      <c r="T91" s="23"/>
      <c r="U91" s="23"/>
      <c r="V91" s="23"/>
      <c r="W91" s="23"/>
      <c r="X91" s="23"/>
      <c r="Y91" s="23"/>
      <c r="Z91" s="23"/>
    </row>
    <row r="92" spans="1:26" ht="22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22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22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22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22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22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22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22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22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22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22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22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2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2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22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22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22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22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22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22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22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22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22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22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22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22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22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22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22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22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22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22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22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22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22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22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22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22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22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22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22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22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22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22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22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22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22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22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22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22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22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22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22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22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22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22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22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22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22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22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22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22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22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22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22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22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22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22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22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22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22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22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22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22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22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22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22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22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22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22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22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22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22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22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22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22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22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22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22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22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22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22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22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22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22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22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22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22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22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22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22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22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22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22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22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22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22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22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22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22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22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22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22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22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22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22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22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22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22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22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22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22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22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22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22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22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22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22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22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22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22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22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22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22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22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22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22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22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22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22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22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22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22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22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22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22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22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22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22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22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22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22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22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22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22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22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22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22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22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22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22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22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22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22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22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22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22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22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22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22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22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22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22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22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22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22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22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22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22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22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22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22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22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22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22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22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22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22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22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22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22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22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22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22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22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22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22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22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22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22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22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22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22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22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22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22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22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22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22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22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22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22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22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22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22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22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22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22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22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22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22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22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22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22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22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22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22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22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22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22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22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22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22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22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22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22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22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22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22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22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22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22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22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22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22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22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22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22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22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22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22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22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22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22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22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22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22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22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22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22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22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22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22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22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22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22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22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22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22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22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22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22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22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22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22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22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22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22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22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22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22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22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22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22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22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22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22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22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22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22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22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22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22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22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22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22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22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22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22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22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22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22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22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22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22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22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22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22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22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22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22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22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22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22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22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22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22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22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22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22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22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22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22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22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22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22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22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22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22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22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22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22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22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22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22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22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22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22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22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22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22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22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22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22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22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22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22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22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22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22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22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22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22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22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22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22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22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22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22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22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22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22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22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22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22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22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22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22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22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22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22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22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22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22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22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22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22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22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22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22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22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22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22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22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22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22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22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22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22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22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22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22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22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22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22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22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22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22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22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22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22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22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22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22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22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22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22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22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22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22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22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22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22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22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22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22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22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22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22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22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22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22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22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22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22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22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22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22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22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22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22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22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22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22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22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22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22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22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22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22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22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22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22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22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22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22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22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22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22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22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22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22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22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22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22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22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22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22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22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22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22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22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22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22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22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22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22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22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22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22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22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22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22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22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22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22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22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22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22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22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22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22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22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22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22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22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22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22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22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22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22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22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22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22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22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22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22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22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22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22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22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22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22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22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22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22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22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22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22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22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22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22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22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22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22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22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22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22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22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22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22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22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22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22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22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22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22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22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22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22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22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22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22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22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22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22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22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22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22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22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22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22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22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22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22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22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22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22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22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22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22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22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22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22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22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22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22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22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22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22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22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22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22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22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22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22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22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22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22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22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22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22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22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22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22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22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22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22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22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22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22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22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22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22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22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22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22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22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22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22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22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22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22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22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22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22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22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22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22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22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22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22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22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22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22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22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22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22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22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22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22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22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22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22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22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22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22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22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22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22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22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22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22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22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22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22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22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22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22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22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22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22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22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22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22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22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22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22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22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22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22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22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22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22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22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22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22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22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22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22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22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22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22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22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22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22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22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22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22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22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22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22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22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22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22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22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22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22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22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22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22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22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22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22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22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22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22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22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22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22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22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22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22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22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22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22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22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22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22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22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22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22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22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22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22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22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22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22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22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22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22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22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22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22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22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22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22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22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22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22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22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22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22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22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22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22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22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22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22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22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22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22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22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22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22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22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22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22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22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22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22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22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22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22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22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22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22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22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22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22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22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22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22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22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22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22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22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22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22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22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22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22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22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22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22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22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22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22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22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22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22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22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22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22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22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22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22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22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22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22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22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22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22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22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22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22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22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22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22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22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22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22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22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22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22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22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22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22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22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22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22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22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22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22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22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22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22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22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22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22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22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22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22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22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22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22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22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22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22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22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22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22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22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22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22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22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22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</sheetData>
  <phoneticPr fontId="29" type="noConversion"/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8"/>
  <sheetViews>
    <sheetView topLeftCell="L1" workbookViewId="0"/>
  </sheetViews>
  <sheetFormatPr defaultColWidth="12.5703125" defaultRowHeight="15.75" customHeight="1"/>
  <cols>
    <col min="1" max="2" width="14.42578125" customWidth="1"/>
    <col min="3" max="3" width="8.42578125" customWidth="1"/>
    <col min="4" max="4" width="14.42578125" customWidth="1"/>
    <col min="5" max="5" width="16.5703125" customWidth="1"/>
    <col min="6" max="17" width="14.42578125" customWidth="1"/>
  </cols>
  <sheetData>
    <row r="1" spans="1:29" ht="15.75" customHeight="1">
      <c r="A1" s="4"/>
      <c r="B1" s="4"/>
      <c r="C1" s="4"/>
      <c r="D1" s="4"/>
      <c r="E1" s="54" t="s">
        <v>422</v>
      </c>
      <c r="F1" s="4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>
      <c r="A2" s="4"/>
      <c r="B2" s="4"/>
      <c r="C2" s="4"/>
      <c r="D2" s="4" t="s">
        <v>423</v>
      </c>
      <c r="E2" s="4" t="s">
        <v>424</v>
      </c>
      <c r="F2" s="4" t="s">
        <v>425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.75" customHeight="1">
      <c r="A5" s="11"/>
      <c r="B5" s="11"/>
      <c r="C5" s="11"/>
      <c r="D5" s="55" t="s">
        <v>27</v>
      </c>
      <c r="E5" s="46"/>
      <c r="F5" s="46"/>
      <c r="G5" s="46"/>
      <c r="H5" s="46"/>
      <c r="I5" s="47"/>
      <c r="J5" s="4"/>
      <c r="K5" s="4" t="s">
        <v>35</v>
      </c>
      <c r="L5" s="10" t="s">
        <v>31</v>
      </c>
      <c r="M5" s="4" t="s">
        <v>39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75" customHeight="1">
      <c r="A6" s="4"/>
      <c r="B6" s="4"/>
      <c r="C6" s="4"/>
      <c r="D6" s="4" t="s">
        <v>426</v>
      </c>
      <c r="E6" s="4"/>
      <c r="F6" s="4"/>
      <c r="G6" s="4"/>
      <c r="H6" s="4"/>
      <c r="I6" s="4"/>
      <c r="J6" s="4"/>
      <c r="K6" s="4"/>
      <c r="L6" s="11" t="s">
        <v>32</v>
      </c>
      <c r="M6" s="12" t="s">
        <v>43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13" t="s">
        <v>33</v>
      </c>
      <c r="M7" s="12" t="s">
        <v>46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14" t="s">
        <v>34</v>
      </c>
      <c r="M8" s="12" t="s">
        <v>50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.75" customHeight="1">
      <c r="A11" s="30"/>
      <c r="B11" s="30" t="s">
        <v>427</v>
      </c>
      <c r="C11" s="31">
        <v>90</v>
      </c>
      <c r="D11" s="31"/>
      <c r="E11" s="31"/>
      <c r="F11" s="31"/>
      <c r="G11" s="31"/>
      <c r="H11" s="31"/>
      <c r="I11" s="31"/>
      <c r="J11" s="31"/>
      <c r="K11" s="31"/>
      <c r="L11" s="31"/>
      <c r="M11" s="32" t="s">
        <v>428</v>
      </c>
      <c r="N11" s="32" t="s">
        <v>428</v>
      </c>
      <c r="O11" s="32" t="s">
        <v>428</v>
      </c>
      <c r="P11" s="32" t="s">
        <v>428</v>
      </c>
      <c r="Q11" s="32" t="s">
        <v>428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.75" customHeight="1">
      <c r="A12" s="30"/>
      <c r="B12" s="30" t="s">
        <v>427</v>
      </c>
      <c r="C12" s="31">
        <v>80</v>
      </c>
      <c r="D12" s="31"/>
      <c r="E12" s="31"/>
      <c r="F12" s="31"/>
      <c r="G12" s="31"/>
      <c r="H12" s="31"/>
      <c r="I12" s="32" t="s">
        <v>429</v>
      </c>
      <c r="J12" s="32" t="s">
        <v>429</v>
      </c>
      <c r="K12" s="32" t="s">
        <v>430</v>
      </c>
      <c r="L12" s="32" t="s">
        <v>430</v>
      </c>
      <c r="M12" s="32" t="s">
        <v>431</v>
      </c>
      <c r="N12" s="32" t="s">
        <v>431</v>
      </c>
      <c r="O12" s="32" t="s">
        <v>431</v>
      </c>
      <c r="P12" s="32" t="s">
        <v>432</v>
      </c>
      <c r="Q12" s="32" t="s">
        <v>428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.75" customHeight="1">
      <c r="A13" s="30"/>
      <c r="B13" s="30" t="s">
        <v>433</v>
      </c>
      <c r="C13" s="56">
        <v>70</v>
      </c>
      <c r="D13" s="31"/>
      <c r="E13" s="31"/>
      <c r="F13" s="31"/>
      <c r="G13" s="31"/>
      <c r="H13" s="31"/>
      <c r="I13" s="32" t="s">
        <v>434</v>
      </c>
      <c r="J13" s="32" t="s">
        <v>434</v>
      </c>
      <c r="K13" s="32" t="s">
        <v>434</v>
      </c>
      <c r="L13" s="32" t="s">
        <v>434</v>
      </c>
      <c r="M13" s="32" t="s">
        <v>434</v>
      </c>
      <c r="N13" s="31"/>
      <c r="O13" s="31"/>
      <c r="P13" s="31"/>
      <c r="Q13" s="3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.75" customHeight="1">
      <c r="A14" s="30"/>
      <c r="B14" s="30" t="s">
        <v>427</v>
      </c>
      <c r="C14" s="57"/>
      <c r="D14" s="31"/>
      <c r="E14" s="31"/>
      <c r="F14" s="31"/>
      <c r="G14" s="31"/>
      <c r="H14" s="31"/>
      <c r="I14" s="32" t="s">
        <v>435</v>
      </c>
      <c r="J14" s="32" t="s">
        <v>435</v>
      </c>
      <c r="K14" s="32" t="s">
        <v>436</v>
      </c>
      <c r="L14" s="32" t="s">
        <v>436</v>
      </c>
      <c r="M14" s="32" t="s">
        <v>437</v>
      </c>
      <c r="N14" s="32" t="s">
        <v>437</v>
      </c>
      <c r="O14" s="32" t="s">
        <v>431</v>
      </c>
      <c r="P14" s="32" t="s">
        <v>432</v>
      </c>
      <c r="Q14" s="32" t="s">
        <v>428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customHeight="1">
      <c r="A15" s="30"/>
      <c r="B15" s="30" t="s">
        <v>438</v>
      </c>
      <c r="C15" s="58"/>
      <c r="D15" s="31"/>
      <c r="E15" s="31"/>
      <c r="F15" s="31"/>
      <c r="G15" s="31"/>
      <c r="H15" s="34" t="s">
        <v>439</v>
      </c>
      <c r="I15" s="34" t="s">
        <v>440</v>
      </c>
      <c r="J15" s="34" t="s">
        <v>440</v>
      </c>
      <c r="K15" s="34" t="s">
        <v>441</v>
      </c>
      <c r="L15" s="34" t="s">
        <v>441</v>
      </c>
      <c r="M15" s="31"/>
      <c r="N15" s="31"/>
      <c r="O15" s="31"/>
      <c r="P15" s="31"/>
      <c r="Q15" s="3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.75" customHeight="1">
      <c r="A16" s="30"/>
      <c r="B16" s="30" t="s">
        <v>433</v>
      </c>
      <c r="C16" s="56">
        <v>60</v>
      </c>
      <c r="D16" s="31"/>
      <c r="E16" s="31"/>
      <c r="F16" s="31"/>
      <c r="G16" s="34" t="s">
        <v>442</v>
      </c>
      <c r="H16" s="31" t="s">
        <v>443</v>
      </c>
      <c r="I16" s="32" t="s">
        <v>444</v>
      </c>
      <c r="J16" s="32" t="s">
        <v>434</v>
      </c>
      <c r="K16" s="32" t="s">
        <v>434</v>
      </c>
      <c r="L16" s="32" t="s">
        <v>434</v>
      </c>
      <c r="M16" s="32" t="s">
        <v>434</v>
      </c>
      <c r="N16" s="31"/>
      <c r="O16" s="31"/>
      <c r="P16" s="31"/>
      <c r="Q16" s="3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>
      <c r="A17" s="30"/>
      <c r="B17" s="30" t="s">
        <v>427</v>
      </c>
      <c r="C17" s="57"/>
      <c r="D17" s="31"/>
      <c r="E17" s="31"/>
      <c r="F17" s="31"/>
      <c r="G17" s="31"/>
      <c r="H17" s="31"/>
      <c r="I17" s="32" t="s">
        <v>435</v>
      </c>
      <c r="J17" s="32" t="s">
        <v>435</v>
      </c>
      <c r="K17" s="32" t="s">
        <v>436</v>
      </c>
      <c r="L17" s="32" t="s">
        <v>436</v>
      </c>
      <c r="M17" s="32" t="s">
        <v>437</v>
      </c>
      <c r="N17" s="32" t="s">
        <v>437</v>
      </c>
      <c r="O17" s="32" t="s">
        <v>431</v>
      </c>
      <c r="P17" s="32" t="s">
        <v>432</v>
      </c>
      <c r="Q17" s="32" t="s">
        <v>428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>
      <c r="A18" s="30"/>
      <c r="B18" s="30" t="s">
        <v>438</v>
      </c>
      <c r="C18" s="58"/>
      <c r="D18" s="31"/>
      <c r="E18" s="31"/>
      <c r="F18" s="31"/>
      <c r="G18" s="31"/>
      <c r="H18" s="34" t="s">
        <v>439</v>
      </c>
      <c r="I18" s="34" t="s">
        <v>440</v>
      </c>
      <c r="J18" s="34" t="s">
        <v>440</v>
      </c>
      <c r="K18" s="34" t="s">
        <v>441</v>
      </c>
      <c r="L18" s="34" t="s">
        <v>441</v>
      </c>
      <c r="M18" s="31"/>
      <c r="N18" s="31"/>
      <c r="O18" s="31"/>
      <c r="P18" s="31"/>
      <c r="Q18" s="3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>
      <c r="A19" s="30"/>
      <c r="B19" s="30" t="s">
        <v>433</v>
      </c>
      <c r="C19" s="31"/>
      <c r="D19" s="34" t="s">
        <v>445</v>
      </c>
      <c r="E19" s="34" t="s">
        <v>445</v>
      </c>
      <c r="F19" s="34" t="s">
        <v>445</v>
      </c>
      <c r="G19" s="34" t="s">
        <v>446</v>
      </c>
      <c r="H19" s="31" t="s">
        <v>443</v>
      </c>
      <c r="I19" s="32" t="s">
        <v>447</v>
      </c>
      <c r="J19" s="32" t="s">
        <v>448</v>
      </c>
      <c r="K19" s="32" t="s">
        <v>434</v>
      </c>
      <c r="L19" s="32" t="s">
        <v>434</v>
      </c>
      <c r="M19" s="32" t="s">
        <v>434</v>
      </c>
      <c r="N19" s="31"/>
      <c r="O19" s="31"/>
      <c r="P19" s="31"/>
      <c r="Q19" s="3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>
      <c r="A20" s="30"/>
      <c r="B20" s="30" t="s">
        <v>427</v>
      </c>
      <c r="C20" s="31"/>
      <c r="D20" s="31"/>
      <c r="E20" s="31"/>
      <c r="F20" s="31"/>
      <c r="G20" s="31"/>
      <c r="H20" s="31"/>
      <c r="I20" s="32" t="s">
        <v>435</v>
      </c>
      <c r="J20" s="32" t="s">
        <v>435</v>
      </c>
      <c r="K20" s="32" t="s">
        <v>436</v>
      </c>
      <c r="L20" s="32" t="s">
        <v>436</v>
      </c>
      <c r="M20" s="32" t="s">
        <v>437</v>
      </c>
      <c r="N20" s="32" t="s">
        <v>437</v>
      </c>
      <c r="O20" s="32" t="s">
        <v>431</v>
      </c>
      <c r="P20" s="32" t="s">
        <v>432</v>
      </c>
      <c r="Q20" s="32" t="s">
        <v>428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>
      <c r="A21" s="30"/>
      <c r="B21" s="30" t="s">
        <v>438</v>
      </c>
      <c r="C21" s="31">
        <v>50</v>
      </c>
      <c r="D21" s="31"/>
      <c r="E21" s="31"/>
      <c r="F21" s="31"/>
      <c r="G21" s="31"/>
      <c r="H21" s="34" t="s">
        <v>439</v>
      </c>
      <c r="I21" s="34" t="s">
        <v>440</v>
      </c>
      <c r="J21" s="34" t="s">
        <v>440</v>
      </c>
      <c r="K21" s="34" t="s">
        <v>441</v>
      </c>
      <c r="L21" s="34" t="s">
        <v>441</v>
      </c>
      <c r="M21" s="31"/>
      <c r="N21" s="31"/>
      <c r="O21" s="31"/>
      <c r="P21" s="31"/>
      <c r="Q21" s="3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>
      <c r="A22" s="30"/>
      <c r="B22" s="30" t="s">
        <v>433</v>
      </c>
      <c r="C22" s="56">
        <v>40</v>
      </c>
      <c r="D22" s="34" t="s">
        <v>445</v>
      </c>
      <c r="E22" s="34" t="s">
        <v>445</v>
      </c>
      <c r="F22" s="34" t="s">
        <v>445</v>
      </c>
      <c r="G22" s="34" t="s">
        <v>446</v>
      </c>
      <c r="H22" s="31" t="s">
        <v>443</v>
      </c>
      <c r="I22" s="32" t="s">
        <v>447</v>
      </c>
      <c r="J22" s="32" t="s">
        <v>448</v>
      </c>
      <c r="K22" s="32" t="s">
        <v>434</v>
      </c>
      <c r="L22" s="32" t="s">
        <v>434</v>
      </c>
      <c r="M22" s="32" t="s">
        <v>434</v>
      </c>
      <c r="N22" s="31"/>
      <c r="O22" s="31"/>
      <c r="P22" s="31"/>
      <c r="Q22" s="3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>
      <c r="A23" s="30"/>
      <c r="B23" s="30" t="s">
        <v>427</v>
      </c>
      <c r="C23" s="57"/>
      <c r="D23" s="31"/>
      <c r="E23" s="31"/>
      <c r="F23" s="31"/>
      <c r="G23" s="31"/>
      <c r="H23" s="31"/>
      <c r="I23" s="32" t="s">
        <v>435</v>
      </c>
      <c r="J23" s="32" t="s">
        <v>435</v>
      </c>
      <c r="K23" s="32" t="s">
        <v>436</v>
      </c>
      <c r="L23" s="32" t="s">
        <v>436</v>
      </c>
      <c r="M23" s="32" t="s">
        <v>437</v>
      </c>
      <c r="N23" s="32" t="s">
        <v>437</v>
      </c>
      <c r="O23" s="32" t="s">
        <v>431</v>
      </c>
      <c r="P23" s="32" t="s">
        <v>432</v>
      </c>
      <c r="Q23" s="32" t="s">
        <v>428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30"/>
      <c r="B24" s="30" t="s">
        <v>438</v>
      </c>
      <c r="C24" s="57"/>
      <c r="D24" s="31"/>
      <c r="E24" s="31"/>
      <c r="F24" s="31"/>
      <c r="G24" s="31"/>
      <c r="H24" s="34" t="s">
        <v>439</v>
      </c>
      <c r="I24" s="34" t="s">
        <v>440</v>
      </c>
      <c r="J24" s="34" t="s">
        <v>440</v>
      </c>
      <c r="K24" s="34" t="s">
        <v>441</v>
      </c>
      <c r="L24" s="34" t="s">
        <v>441</v>
      </c>
      <c r="M24" s="31"/>
      <c r="N24" s="31"/>
      <c r="O24" s="31"/>
      <c r="P24" s="31"/>
      <c r="Q24" s="3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30"/>
      <c r="B25" s="30" t="s">
        <v>449</v>
      </c>
      <c r="C25" s="58"/>
      <c r="D25" s="31"/>
      <c r="E25" s="34" t="s">
        <v>450</v>
      </c>
      <c r="F25" s="34" t="s">
        <v>450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30"/>
      <c r="B26" s="30" t="s">
        <v>433</v>
      </c>
      <c r="C26" s="56">
        <v>20</v>
      </c>
      <c r="D26" s="34" t="s">
        <v>445</v>
      </c>
      <c r="E26" s="34" t="s">
        <v>445</v>
      </c>
      <c r="F26" s="34" t="s">
        <v>445</v>
      </c>
      <c r="G26" s="34" t="s">
        <v>446</v>
      </c>
      <c r="H26" s="31" t="s">
        <v>443</v>
      </c>
      <c r="I26" s="32" t="s">
        <v>447</v>
      </c>
      <c r="J26" s="32" t="s">
        <v>448</v>
      </c>
      <c r="K26" s="32" t="s">
        <v>434</v>
      </c>
      <c r="L26" s="32" t="s">
        <v>434</v>
      </c>
      <c r="M26" s="32" t="s">
        <v>434</v>
      </c>
      <c r="N26" s="31"/>
      <c r="O26" s="31"/>
      <c r="P26" s="31"/>
      <c r="Q26" s="3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30"/>
      <c r="B27" s="30" t="s">
        <v>427</v>
      </c>
      <c r="C27" s="57"/>
      <c r="D27" s="31"/>
      <c r="E27" s="31"/>
      <c r="F27" s="31"/>
      <c r="G27" s="31"/>
      <c r="H27" s="31"/>
      <c r="I27" s="32" t="s">
        <v>435</v>
      </c>
      <c r="J27" s="32" t="s">
        <v>435</v>
      </c>
      <c r="K27" s="32" t="s">
        <v>436</v>
      </c>
      <c r="L27" s="32" t="s">
        <v>436</v>
      </c>
      <c r="M27" s="32" t="s">
        <v>437</v>
      </c>
      <c r="N27" s="32" t="s">
        <v>437</v>
      </c>
      <c r="O27" s="32" t="s">
        <v>431</v>
      </c>
      <c r="P27" s="32" t="s">
        <v>432</v>
      </c>
      <c r="Q27" s="32" t="s">
        <v>428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30"/>
      <c r="B28" s="30" t="s">
        <v>438</v>
      </c>
      <c r="C28" s="57"/>
      <c r="D28" s="31"/>
      <c r="E28" s="31"/>
      <c r="F28" s="31"/>
      <c r="G28" s="31"/>
      <c r="H28" s="34" t="s">
        <v>439</v>
      </c>
      <c r="I28" s="34" t="s">
        <v>440</v>
      </c>
      <c r="J28" s="34" t="s">
        <v>440</v>
      </c>
      <c r="K28" s="34" t="s">
        <v>441</v>
      </c>
      <c r="L28" s="34" t="s">
        <v>441</v>
      </c>
      <c r="M28" s="31"/>
      <c r="N28" s="31"/>
      <c r="O28" s="31"/>
      <c r="P28" s="31"/>
      <c r="Q28" s="3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35"/>
      <c r="B29" s="35" t="s">
        <v>451</v>
      </c>
      <c r="C29" s="57"/>
      <c r="D29" s="31"/>
      <c r="E29" s="36" t="s">
        <v>452</v>
      </c>
      <c r="F29" s="36" t="s">
        <v>453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30"/>
      <c r="B30" s="30" t="s">
        <v>449</v>
      </c>
      <c r="C30" s="57"/>
      <c r="D30" s="31"/>
      <c r="E30" s="34" t="s">
        <v>454</v>
      </c>
      <c r="F30" s="34" t="s">
        <v>450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>
      <c r="A31" s="30"/>
      <c r="B31" s="30" t="s">
        <v>455</v>
      </c>
      <c r="C31" s="57"/>
      <c r="D31" s="31"/>
      <c r="E31" s="37" t="s">
        <v>456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30"/>
      <c r="B32" s="30" t="s">
        <v>457</v>
      </c>
      <c r="C32" s="58"/>
      <c r="D32" s="31"/>
      <c r="E32" s="37" t="s">
        <v>458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>
      <c r="A33" s="30"/>
      <c r="B33" s="30"/>
      <c r="C33" s="31"/>
      <c r="D33" s="31">
        <v>50</v>
      </c>
      <c r="E33" s="31">
        <v>80</v>
      </c>
      <c r="F33" s="31">
        <v>100</v>
      </c>
      <c r="G33" s="31">
        <v>150</v>
      </c>
      <c r="H33" s="31">
        <v>200</v>
      </c>
      <c r="I33" s="31">
        <v>250</v>
      </c>
      <c r="J33" s="31">
        <v>300</v>
      </c>
      <c r="K33" s="31">
        <v>350</v>
      </c>
      <c r="L33" s="31">
        <v>400</v>
      </c>
      <c r="M33" s="31">
        <v>500</v>
      </c>
      <c r="N33" s="31">
        <v>900</v>
      </c>
      <c r="O33" s="31">
        <v>1100</v>
      </c>
      <c r="P33" s="31">
        <v>1300</v>
      </c>
      <c r="Q33" s="31">
        <v>1500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>
      <c r="A34" s="4"/>
      <c r="B34" s="4"/>
      <c r="C34" s="38"/>
      <c r="D34" s="59" t="s">
        <v>423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">
      <c r="A38" s="56" t="s">
        <v>459</v>
      </c>
      <c r="B38" s="56" t="s">
        <v>427</v>
      </c>
      <c r="C38" s="31">
        <v>90</v>
      </c>
      <c r="D38" s="31"/>
      <c r="E38" s="31"/>
      <c r="F38" s="31"/>
      <c r="G38" s="31"/>
      <c r="H38" s="31"/>
      <c r="I38" s="32" t="s">
        <v>428</v>
      </c>
      <c r="J38" s="32" t="s">
        <v>428</v>
      </c>
      <c r="K38" s="32" t="s">
        <v>428</v>
      </c>
      <c r="L38" s="32" t="s">
        <v>428</v>
      </c>
      <c r="M38" s="32" t="s">
        <v>428</v>
      </c>
      <c r="N38" s="32" t="s">
        <v>428</v>
      </c>
      <c r="O38" s="32" t="s">
        <v>428</v>
      </c>
      <c r="P38" s="32" t="s">
        <v>428</v>
      </c>
      <c r="Q38" s="32" t="s">
        <v>428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">
      <c r="A39" s="57"/>
      <c r="B39" s="57"/>
      <c r="C39" s="31">
        <v>80</v>
      </c>
      <c r="D39" s="31"/>
      <c r="E39" s="31"/>
      <c r="F39" s="31"/>
      <c r="G39" s="31"/>
      <c r="H39" s="31"/>
      <c r="I39" s="32" t="s">
        <v>431</v>
      </c>
      <c r="J39" s="32" t="s">
        <v>431</v>
      </c>
      <c r="K39" s="32" t="s">
        <v>431</v>
      </c>
      <c r="L39" s="32" t="s">
        <v>431</v>
      </c>
      <c r="M39" s="32" t="s">
        <v>431</v>
      </c>
      <c r="N39" s="32" t="s">
        <v>431</v>
      </c>
      <c r="O39" s="32" t="s">
        <v>431</v>
      </c>
      <c r="P39" s="32" t="s">
        <v>432</v>
      </c>
      <c r="Q39" s="32" t="s">
        <v>428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">
      <c r="A40" s="57"/>
      <c r="B40" s="57"/>
      <c r="C40" s="33">
        <v>70</v>
      </c>
      <c r="D40" s="31"/>
      <c r="E40" s="31"/>
      <c r="F40" s="31"/>
      <c r="G40" s="31"/>
      <c r="H40" s="31"/>
      <c r="I40" s="32" t="s">
        <v>437</v>
      </c>
      <c r="J40" s="32" t="s">
        <v>437</v>
      </c>
      <c r="K40" s="32" t="s">
        <v>437</v>
      </c>
      <c r="L40" s="32" t="s">
        <v>437</v>
      </c>
      <c r="M40" s="32" t="s">
        <v>437</v>
      </c>
      <c r="N40" s="32" t="s">
        <v>437</v>
      </c>
      <c r="O40" s="32" t="s">
        <v>431</v>
      </c>
      <c r="P40" s="32" t="s">
        <v>432</v>
      </c>
      <c r="Q40" s="32" t="s">
        <v>428</v>
      </c>
      <c r="R40" s="4"/>
      <c r="S40" s="4"/>
      <c r="T40" s="4"/>
      <c r="U40" s="4"/>
      <c r="V40" s="4"/>
      <c r="W40" s="4"/>
      <c r="X40" s="39" t="s">
        <v>460</v>
      </c>
      <c r="Y40" s="4"/>
      <c r="Z40" s="4"/>
      <c r="AA40" s="4"/>
      <c r="AB40" s="4"/>
      <c r="AC40" s="4"/>
    </row>
    <row r="41" spans="1:29" ht="15">
      <c r="A41" s="57"/>
      <c r="B41" s="57"/>
      <c r="C41" s="33">
        <v>60</v>
      </c>
      <c r="D41" s="31"/>
      <c r="E41" s="31"/>
      <c r="F41" s="31"/>
      <c r="G41" s="31"/>
      <c r="H41" s="31"/>
      <c r="I41" s="32" t="s">
        <v>437</v>
      </c>
      <c r="J41" s="32" t="s">
        <v>437</v>
      </c>
      <c r="K41" s="32" t="s">
        <v>437</v>
      </c>
      <c r="L41" s="32" t="s">
        <v>437</v>
      </c>
      <c r="M41" s="32" t="s">
        <v>437</v>
      </c>
      <c r="N41" s="32" t="s">
        <v>437</v>
      </c>
      <c r="O41" s="32" t="s">
        <v>431</v>
      </c>
      <c r="P41" s="32" t="s">
        <v>432</v>
      </c>
      <c r="Q41" s="32" t="s">
        <v>428</v>
      </c>
      <c r="R41" s="4"/>
      <c r="S41" s="4"/>
      <c r="T41" s="4"/>
      <c r="U41" s="4"/>
      <c r="V41" s="4"/>
      <c r="W41" s="4"/>
      <c r="X41" s="39" t="s">
        <v>461</v>
      </c>
      <c r="Y41" s="4"/>
      <c r="Z41" s="4"/>
      <c r="AA41" s="4"/>
      <c r="AB41" s="4"/>
      <c r="AC41" s="4"/>
    </row>
    <row r="42" spans="1:29" ht="15">
      <c r="A42" s="57"/>
      <c r="B42" s="57"/>
      <c r="C42" s="31">
        <v>50</v>
      </c>
      <c r="D42" s="31"/>
      <c r="E42" s="31"/>
      <c r="F42" s="31"/>
      <c r="G42" s="31"/>
      <c r="H42" s="31"/>
      <c r="I42" s="32" t="s">
        <v>437</v>
      </c>
      <c r="J42" s="32" t="s">
        <v>437</v>
      </c>
      <c r="K42" s="32" t="s">
        <v>437</v>
      </c>
      <c r="L42" s="32" t="s">
        <v>437</v>
      </c>
      <c r="M42" s="32" t="s">
        <v>437</v>
      </c>
      <c r="N42" s="32" t="s">
        <v>437</v>
      </c>
      <c r="O42" s="32" t="s">
        <v>431</v>
      </c>
      <c r="P42" s="32" t="s">
        <v>432</v>
      </c>
      <c r="Q42" s="32" t="s">
        <v>428</v>
      </c>
      <c r="R42" s="4"/>
      <c r="S42" s="4"/>
      <c r="T42" s="4"/>
      <c r="U42" s="4"/>
      <c r="V42" s="4"/>
      <c r="W42" s="4"/>
      <c r="X42" s="39" t="s">
        <v>462</v>
      </c>
      <c r="Y42" s="4"/>
      <c r="Z42" s="4"/>
      <c r="AA42" s="4"/>
      <c r="AB42" s="4"/>
      <c r="AC42" s="4"/>
    </row>
    <row r="43" spans="1:29" ht="15">
      <c r="A43" s="57"/>
      <c r="B43" s="57"/>
      <c r="C43" s="33">
        <v>40</v>
      </c>
      <c r="D43" s="31"/>
      <c r="E43" s="31"/>
      <c r="F43" s="31"/>
      <c r="G43" s="31"/>
      <c r="H43" s="31"/>
      <c r="I43" s="32" t="s">
        <v>437</v>
      </c>
      <c r="J43" s="32" t="s">
        <v>437</v>
      </c>
      <c r="K43" s="32" t="s">
        <v>437</v>
      </c>
      <c r="L43" s="32" t="s">
        <v>437</v>
      </c>
      <c r="M43" s="32" t="s">
        <v>437</v>
      </c>
      <c r="N43" s="32" t="s">
        <v>437</v>
      </c>
      <c r="O43" s="32" t="s">
        <v>431</v>
      </c>
      <c r="P43" s="32" t="s">
        <v>432</v>
      </c>
      <c r="Q43" s="32" t="s">
        <v>428</v>
      </c>
      <c r="R43" s="4"/>
      <c r="S43" s="4"/>
      <c r="T43" s="4"/>
      <c r="U43" s="4"/>
      <c r="V43" s="4"/>
      <c r="W43" s="4"/>
      <c r="X43" s="40" t="s">
        <v>463</v>
      </c>
      <c r="Y43" s="4"/>
      <c r="Z43" s="4"/>
      <c r="AA43" s="4"/>
      <c r="AB43" s="4"/>
      <c r="AC43" s="4"/>
    </row>
    <row r="44" spans="1:29" ht="15">
      <c r="A44" s="57"/>
      <c r="B44" s="58"/>
      <c r="C44" s="33">
        <v>20</v>
      </c>
      <c r="D44" s="31"/>
      <c r="E44" s="31"/>
      <c r="F44" s="31"/>
      <c r="G44" s="31"/>
      <c r="H44" s="31"/>
      <c r="I44" s="32" t="s">
        <v>437</v>
      </c>
      <c r="J44" s="32" t="s">
        <v>437</v>
      </c>
      <c r="K44" s="32" t="s">
        <v>437</v>
      </c>
      <c r="L44" s="32" t="s">
        <v>437</v>
      </c>
      <c r="M44" s="32" t="s">
        <v>437</v>
      </c>
      <c r="N44" s="32" t="s">
        <v>437</v>
      </c>
      <c r="O44" s="32" t="s">
        <v>431</v>
      </c>
      <c r="P44" s="32" t="s">
        <v>432</v>
      </c>
      <c r="Q44" s="32" t="s">
        <v>428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">
      <c r="A45" s="57"/>
      <c r="B45" s="56" t="s">
        <v>433</v>
      </c>
      <c r="C45" s="33">
        <v>70</v>
      </c>
      <c r="D45" s="31"/>
      <c r="E45" s="31"/>
      <c r="F45" s="31"/>
      <c r="G45" s="31"/>
      <c r="H45" s="31"/>
      <c r="I45" s="32" t="s">
        <v>434</v>
      </c>
      <c r="J45" s="32" t="s">
        <v>434</v>
      </c>
      <c r="K45" s="32" t="s">
        <v>434</v>
      </c>
      <c r="L45" s="32" t="s">
        <v>434</v>
      </c>
      <c r="M45" s="32" t="s">
        <v>434</v>
      </c>
      <c r="N45" s="31"/>
      <c r="O45" s="31"/>
      <c r="P45" s="31"/>
      <c r="Q45" s="31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">
      <c r="A46" s="57"/>
      <c r="B46" s="57"/>
      <c r="C46" s="56">
        <v>60</v>
      </c>
      <c r="D46" s="31"/>
      <c r="E46" s="31"/>
      <c r="F46" s="31"/>
      <c r="G46" s="32" t="s">
        <v>464</v>
      </c>
      <c r="H46" s="32" t="s">
        <v>464</v>
      </c>
      <c r="I46" s="32" t="s">
        <v>444</v>
      </c>
      <c r="J46" s="32" t="s">
        <v>434</v>
      </c>
      <c r="K46" s="32" t="s">
        <v>434</v>
      </c>
      <c r="L46" s="32" t="s">
        <v>434</v>
      </c>
      <c r="M46" s="32" t="s">
        <v>434</v>
      </c>
      <c r="N46" s="31"/>
      <c r="O46" s="31"/>
      <c r="P46" s="31"/>
      <c r="Q46" s="31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">
      <c r="A47" s="57"/>
      <c r="B47" s="57"/>
      <c r="C47" s="57"/>
      <c r="D47" s="31"/>
      <c r="E47" s="31"/>
      <c r="F47" s="31"/>
      <c r="G47" s="34" t="s">
        <v>442</v>
      </c>
      <c r="H47" s="34" t="s">
        <v>442</v>
      </c>
      <c r="N47" s="31"/>
      <c r="O47" s="31"/>
      <c r="P47" s="31"/>
      <c r="Q47" s="31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">
      <c r="A48" s="57"/>
      <c r="B48" s="57"/>
      <c r="C48" s="56">
        <v>50</v>
      </c>
      <c r="D48" s="31"/>
      <c r="E48" s="31"/>
      <c r="F48" s="31"/>
      <c r="G48" s="32" t="s">
        <v>465</v>
      </c>
      <c r="H48" s="32" t="s">
        <v>465</v>
      </c>
      <c r="I48" s="32" t="s">
        <v>447</v>
      </c>
      <c r="J48" s="32" t="s">
        <v>448</v>
      </c>
      <c r="K48" s="32" t="s">
        <v>434</v>
      </c>
      <c r="L48" s="32" t="s">
        <v>434</v>
      </c>
      <c r="M48" s="32" t="s">
        <v>434</v>
      </c>
      <c r="N48" s="31"/>
      <c r="O48" s="31"/>
      <c r="P48" s="31"/>
      <c r="Q48" s="31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">
      <c r="A49" s="57"/>
      <c r="B49" s="57"/>
      <c r="C49" s="58"/>
      <c r="D49" s="31"/>
      <c r="E49" s="34" t="s">
        <v>446</v>
      </c>
      <c r="F49" s="34" t="s">
        <v>446</v>
      </c>
      <c r="G49" s="34" t="s">
        <v>446</v>
      </c>
      <c r="H49" s="34" t="s">
        <v>442</v>
      </c>
      <c r="I49" s="31"/>
      <c r="J49" s="31"/>
      <c r="K49" s="31"/>
      <c r="L49" s="31"/>
      <c r="M49" s="31"/>
      <c r="N49" s="31"/>
      <c r="O49" s="31"/>
      <c r="P49" s="31"/>
      <c r="Q49" s="31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">
      <c r="A50" s="57"/>
      <c r="B50" s="57"/>
      <c r="C50" s="56">
        <v>40</v>
      </c>
      <c r="D50" s="31"/>
      <c r="E50" s="31"/>
      <c r="F50" s="31"/>
      <c r="G50" s="32" t="s">
        <v>465</v>
      </c>
      <c r="H50" s="32" t="s">
        <v>465</v>
      </c>
      <c r="I50" s="32" t="s">
        <v>447</v>
      </c>
      <c r="J50" s="32" t="s">
        <v>448</v>
      </c>
      <c r="K50" s="32" t="s">
        <v>434</v>
      </c>
      <c r="L50" s="32" t="s">
        <v>434</v>
      </c>
      <c r="M50" s="32" t="s">
        <v>434</v>
      </c>
      <c r="N50" s="31"/>
      <c r="O50" s="31"/>
      <c r="P50" s="31"/>
      <c r="Q50" s="31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">
      <c r="A51" s="57"/>
      <c r="B51" s="57"/>
      <c r="C51" s="57"/>
      <c r="D51" s="31"/>
      <c r="E51" s="34" t="s">
        <v>446</v>
      </c>
      <c r="F51" s="34" t="s">
        <v>446</v>
      </c>
      <c r="G51" s="34" t="s">
        <v>446</v>
      </c>
      <c r="H51" s="34" t="s">
        <v>442</v>
      </c>
      <c r="I51" s="31"/>
      <c r="J51" s="31"/>
      <c r="K51" s="31"/>
      <c r="L51" s="31"/>
      <c r="M51" s="31"/>
      <c r="N51" s="31"/>
      <c r="O51" s="31"/>
      <c r="P51" s="31"/>
      <c r="Q51" s="31"/>
      <c r="R51" s="4"/>
      <c r="S51" s="4"/>
      <c r="T51" s="4"/>
      <c r="U51" s="4"/>
      <c r="V51" s="4"/>
      <c r="W51" s="4"/>
      <c r="X51" s="40"/>
      <c r="Y51" s="4"/>
      <c r="Z51" s="4"/>
      <c r="AA51" s="4"/>
      <c r="AB51" s="4"/>
      <c r="AC51" s="4"/>
    </row>
    <row r="52" spans="1:29" ht="15">
      <c r="A52" s="57"/>
      <c r="B52" s="57"/>
      <c r="C52" s="56">
        <v>20</v>
      </c>
      <c r="D52" s="31"/>
      <c r="E52" s="31"/>
      <c r="F52" s="31"/>
      <c r="G52" s="32" t="s">
        <v>465</v>
      </c>
      <c r="H52" s="32" t="s">
        <v>465</v>
      </c>
      <c r="I52" s="32" t="s">
        <v>447</v>
      </c>
      <c r="J52" s="32" t="s">
        <v>448</v>
      </c>
      <c r="K52" s="32" t="s">
        <v>434</v>
      </c>
      <c r="L52" s="32" t="s">
        <v>434</v>
      </c>
      <c r="M52" s="32" t="s">
        <v>434</v>
      </c>
      <c r="N52" s="31"/>
      <c r="O52" s="31"/>
      <c r="P52" s="31"/>
      <c r="Q52" s="31"/>
      <c r="R52" s="4"/>
      <c r="S52" s="4"/>
      <c r="T52" s="4"/>
      <c r="U52" s="4"/>
      <c r="V52" s="4"/>
      <c r="W52" s="4"/>
      <c r="X52" s="40"/>
      <c r="Y52" s="4"/>
      <c r="Z52" s="4"/>
      <c r="AA52" s="4"/>
      <c r="AB52" s="4"/>
      <c r="AC52" s="4"/>
    </row>
    <row r="53" spans="1:29" ht="15">
      <c r="A53" s="57"/>
      <c r="B53" s="58"/>
      <c r="C53" s="57"/>
      <c r="D53" s="31"/>
      <c r="E53" s="34" t="s">
        <v>446</v>
      </c>
      <c r="F53" s="34" t="s">
        <v>446</v>
      </c>
      <c r="G53" s="34" t="s">
        <v>446</v>
      </c>
      <c r="H53" s="34" t="s">
        <v>442</v>
      </c>
      <c r="I53" s="41"/>
      <c r="J53" s="41"/>
      <c r="K53" s="41"/>
      <c r="L53" s="41"/>
      <c r="M53" s="31"/>
      <c r="N53" s="31"/>
      <c r="O53" s="31"/>
      <c r="P53" s="31"/>
      <c r="Q53" s="31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">
      <c r="A54" s="57"/>
      <c r="B54" s="56" t="s">
        <v>438</v>
      </c>
      <c r="C54" s="33">
        <v>70</v>
      </c>
      <c r="D54" s="31"/>
      <c r="E54" s="31"/>
      <c r="F54" s="31"/>
      <c r="G54" s="31"/>
      <c r="H54" s="34" t="s">
        <v>440</v>
      </c>
      <c r="I54" s="34" t="s">
        <v>440</v>
      </c>
      <c r="J54" s="34" t="s">
        <v>440</v>
      </c>
      <c r="K54" s="34" t="s">
        <v>441</v>
      </c>
      <c r="L54" s="34" t="s">
        <v>441</v>
      </c>
      <c r="M54" s="31"/>
      <c r="N54" s="31"/>
      <c r="O54" s="31"/>
      <c r="P54" s="31"/>
      <c r="Q54" s="31"/>
      <c r="R54" s="4"/>
      <c r="S54" s="4"/>
      <c r="T54" s="4"/>
      <c r="U54" s="4"/>
      <c r="V54" s="4"/>
      <c r="Y54" s="4"/>
      <c r="Z54" s="4"/>
      <c r="AA54" s="4"/>
      <c r="AB54" s="4"/>
      <c r="AC54" s="4"/>
    </row>
    <row r="55" spans="1:29" ht="15">
      <c r="A55" s="57"/>
      <c r="B55" s="57"/>
      <c r="C55" s="33">
        <v>60</v>
      </c>
      <c r="D55" s="31"/>
      <c r="E55" s="31"/>
      <c r="F55" s="31"/>
      <c r="G55" s="31"/>
      <c r="H55" s="34" t="s">
        <v>440</v>
      </c>
      <c r="I55" s="34" t="s">
        <v>440</v>
      </c>
      <c r="J55" s="34" t="s">
        <v>440</v>
      </c>
      <c r="K55" s="34" t="s">
        <v>441</v>
      </c>
      <c r="L55" s="34" t="s">
        <v>441</v>
      </c>
      <c r="M55" s="31"/>
      <c r="N55" s="31"/>
      <c r="O55" s="31"/>
      <c r="P55" s="31"/>
      <c r="Q55" s="31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">
      <c r="A56" s="57"/>
      <c r="B56" s="57"/>
      <c r="C56" s="31">
        <v>50</v>
      </c>
      <c r="D56" s="31"/>
      <c r="E56" s="31"/>
      <c r="F56" s="31"/>
      <c r="G56" s="31"/>
      <c r="H56" s="34" t="s">
        <v>440</v>
      </c>
      <c r="I56" s="34" t="s">
        <v>440</v>
      </c>
      <c r="J56" s="34" t="s">
        <v>440</v>
      </c>
      <c r="K56" s="34" t="s">
        <v>441</v>
      </c>
      <c r="L56" s="34" t="s">
        <v>441</v>
      </c>
      <c r="M56" s="31"/>
      <c r="N56" s="31"/>
      <c r="O56" s="31"/>
      <c r="P56" s="31"/>
      <c r="Q56" s="31"/>
      <c r="R56" s="4"/>
      <c r="S56" s="4"/>
      <c r="T56" s="4"/>
      <c r="U56" s="4"/>
      <c r="V56" s="4"/>
      <c r="W56" s="4"/>
      <c r="X56" s="40"/>
      <c r="Y56" s="4"/>
      <c r="Z56" s="4"/>
      <c r="AA56" s="4"/>
      <c r="AB56" s="4"/>
      <c r="AC56" s="4"/>
    </row>
    <row r="57" spans="1:29" ht="15">
      <c r="A57" s="57"/>
      <c r="B57" s="57"/>
      <c r="C57" s="33">
        <v>40</v>
      </c>
      <c r="D57" s="31"/>
      <c r="E57" s="31"/>
      <c r="F57" s="31"/>
      <c r="G57" s="31"/>
      <c r="H57" s="34" t="s">
        <v>440</v>
      </c>
      <c r="I57" s="34" t="s">
        <v>440</v>
      </c>
      <c r="J57" s="34" t="s">
        <v>440</v>
      </c>
      <c r="K57" s="34" t="s">
        <v>441</v>
      </c>
      <c r="L57" s="34" t="s">
        <v>441</v>
      </c>
      <c r="M57" s="31"/>
      <c r="N57" s="31"/>
      <c r="O57" s="31"/>
      <c r="P57" s="31"/>
      <c r="Q57" s="31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">
      <c r="A58" s="58"/>
      <c r="B58" s="58"/>
      <c r="C58" s="33">
        <v>20</v>
      </c>
      <c r="D58" s="31"/>
      <c r="E58" s="31"/>
      <c r="F58" s="31"/>
      <c r="G58" s="31"/>
      <c r="H58" s="34" t="s">
        <v>440</v>
      </c>
      <c r="I58" s="34" t="s">
        <v>440</v>
      </c>
      <c r="J58" s="34" t="s">
        <v>440</v>
      </c>
      <c r="K58" s="34" t="s">
        <v>441</v>
      </c>
      <c r="L58" s="34" t="s">
        <v>441</v>
      </c>
      <c r="M58" s="31"/>
      <c r="N58" s="31"/>
      <c r="O58" s="31"/>
      <c r="P58" s="31"/>
      <c r="Q58" s="31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">
      <c r="A59" s="62" t="s">
        <v>449</v>
      </c>
      <c r="B59" s="63"/>
      <c r="C59" s="33">
        <v>40</v>
      </c>
      <c r="D59" s="31"/>
      <c r="E59" s="34" t="s">
        <v>450</v>
      </c>
      <c r="F59" s="34" t="s">
        <v>450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">
      <c r="A60" s="64"/>
      <c r="B60" s="65"/>
      <c r="C60" s="33">
        <v>20</v>
      </c>
      <c r="D60" s="31"/>
      <c r="E60" s="34" t="s">
        <v>454</v>
      </c>
      <c r="F60" s="34" t="s">
        <v>450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">
      <c r="A61" s="66" t="s">
        <v>451</v>
      </c>
      <c r="B61" s="61"/>
      <c r="C61" s="33">
        <v>20</v>
      </c>
      <c r="D61" s="31"/>
      <c r="E61" s="36" t="s">
        <v>452</v>
      </c>
      <c r="F61" s="36" t="s">
        <v>453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">
      <c r="A62" s="67" t="s">
        <v>455</v>
      </c>
      <c r="B62" s="61"/>
      <c r="C62" s="33">
        <v>20</v>
      </c>
      <c r="D62" s="31"/>
      <c r="E62" s="37" t="s">
        <v>456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">
      <c r="A63" s="67" t="s">
        <v>457</v>
      </c>
      <c r="B63" s="61"/>
      <c r="C63" s="33">
        <v>20</v>
      </c>
      <c r="D63" s="31"/>
      <c r="E63" s="37" t="s">
        <v>458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">
      <c r="A64" s="67" t="s">
        <v>466</v>
      </c>
      <c r="B64" s="61"/>
      <c r="C64" s="31" t="s">
        <v>467</v>
      </c>
      <c r="D64" s="31">
        <v>50</v>
      </c>
      <c r="E64" s="31">
        <v>80</v>
      </c>
      <c r="F64" s="31">
        <v>100</v>
      </c>
      <c r="G64" s="31">
        <v>150</v>
      </c>
      <c r="H64" s="31">
        <v>200</v>
      </c>
      <c r="I64" s="31">
        <v>250</v>
      </c>
      <c r="J64" s="31">
        <v>300</v>
      </c>
      <c r="K64" s="31">
        <v>350</v>
      </c>
      <c r="L64" s="31">
        <v>400</v>
      </c>
      <c r="M64" s="31">
        <v>500</v>
      </c>
      <c r="N64" s="31">
        <v>900</v>
      </c>
      <c r="O64" s="31">
        <v>1100</v>
      </c>
      <c r="P64" s="31">
        <v>1300</v>
      </c>
      <c r="Q64" s="31">
        <v>1500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">
      <c r="A65" s="68" t="s">
        <v>468</v>
      </c>
      <c r="B65" s="69"/>
      <c r="C65" s="69"/>
      <c r="D65" s="59" t="s">
        <v>423</v>
      </c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1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</sheetData>
  <mergeCells count="22">
    <mergeCell ref="A62:B62"/>
    <mergeCell ref="A63:B63"/>
    <mergeCell ref="A64:B64"/>
    <mergeCell ref="A65:C65"/>
    <mergeCell ref="D65:Q65"/>
    <mergeCell ref="C26:C32"/>
    <mergeCell ref="D34:Q34"/>
    <mergeCell ref="B54:B58"/>
    <mergeCell ref="A59:B60"/>
    <mergeCell ref="A61:B61"/>
    <mergeCell ref="A38:A58"/>
    <mergeCell ref="B38:B44"/>
    <mergeCell ref="B45:B53"/>
    <mergeCell ref="C46:C47"/>
    <mergeCell ref="C48:C49"/>
    <mergeCell ref="C50:C51"/>
    <mergeCell ref="C52:C53"/>
    <mergeCell ref="E1:F1"/>
    <mergeCell ref="D5:I5"/>
    <mergeCell ref="C13:C15"/>
    <mergeCell ref="C16:C18"/>
    <mergeCell ref="C22:C25"/>
  </mergeCells>
  <phoneticPr fontId="2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1009"/>
  <sheetViews>
    <sheetView tabSelected="1" workbookViewId="0">
      <selection sqref="A1:D1"/>
    </sheetView>
  </sheetViews>
  <sheetFormatPr defaultColWidth="12.5703125" defaultRowHeight="15.75" customHeight="1"/>
  <cols>
    <col min="2" max="2" width="43.28515625" customWidth="1"/>
    <col min="4" max="4" width="15" customWidth="1"/>
  </cols>
  <sheetData>
    <row r="1" spans="1:26" ht="15.75" customHeight="1">
      <c r="A1" s="75" t="s">
        <v>477</v>
      </c>
      <c r="B1" s="45"/>
      <c r="C1" s="45"/>
      <c r="D1" s="4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70" t="s">
        <v>478</v>
      </c>
      <c r="B3" s="46"/>
      <c r="C3" s="46"/>
      <c r="D3" s="4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2" t="s">
        <v>469</v>
      </c>
      <c r="B4" s="43" t="s">
        <v>479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2" t="s">
        <v>470</v>
      </c>
      <c r="B5" s="44" t="s">
        <v>471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2" t="s">
        <v>472</v>
      </c>
      <c r="B6" s="71" t="s">
        <v>480</v>
      </c>
      <c r="C6" s="60"/>
      <c r="D6" s="6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70" t="s">
        <v>481</v>
      </c>
      <c r="B8" s="46"/>
      <c r="C8" s="46"/>
      <c r="D8" s="4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2" t="s">
        <v>469</v>
      </c>
      <c r="B9" s="43" t="s">
        <v>482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2" t="s">
        <v>470</v>
      </c>
      <c r="B10" s="44" t="s">
        <v>473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2" t="s">
        <v>472</v>
      </c>
      <c r="B11" s="71" t="s">
        <v>483</v>
      </c>
      <c r="C11" s="60"/>
      <c r="D11" s="6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70" t="s">
        <v>484</v>
      </c>
      <c r="B13" s="46"/>
      <c r="C13" s="46"/>
      <c r="D13" s="4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2" t="s">
        <v>469</v>
      </c>
      <c r="B14" s="43" t="s">
        <v>485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2" t="s">
        <v>470</v>
      </c>
      <c r="B15" s="44" t="s">
        <v>474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2" t="s">
        <v>472</v>
      </c>
      <c r="B16" s="71" t="s">
        <v>486</v>
      </c>
      <c r="C16" s="60"/>
      <c r="D16" s="6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70" t="s">
        <v>487</v>
      </c>
      <c r="B18" s="46"/>
      <c r="C18" s="46"/>
      <c r="D18" s="4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2" t="s">
        <v>469</v>
      </c>
      <c r="B19" s="44" t="s">
        <v>488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2" t="s">
        <v>470</v>
      </c>
      <c r="B20" s="44" t="s">
        <v>474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2" t="s">
        <v>472</v>
      </c>
      <c r="B21" s="71" t="s">
        <v>489</v>
      </c>
      <c r="C21" s="60"/>
      <c r="D21" s="6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72" t="s">
        <v>475</v>
      </c>
      <c r="B23" s="45"/>
      <c r="C23" s="45"/>
      <c r="D23" s="4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73" t="s">
        <v>490</v>
      </c>
      <c r="B24" s="45"/>
      <c r="C24" s="45"/>
      <c r="D24" s="4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73" t="s">
        <v>476</v>
      </c>
      <c r="B25" s="45"/>
      <c r="C25" s="45"/>
      <c r="D25" s="4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74" t="s">
        <v>491</v>
      </c>
      <c r="B26" s="45"/>
      <c r="C26" s="45"/>
      <c r="D26" s="4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73" t="s">
        <v>492</v>
      </c>
      <c r="B27" s="45"/>
      <c r="C27" s="45"/>
      <c r="D27" s="4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75" t="s">
        <v>493</v>
      </c>
      <c r="B29" s="45"/>
      <c r="C29" s="45"/>
      <c r="D29" s="4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70" t="s">
        <v>494</v>
      </c>
      <c r="B31" s="46"/>
      <c r="C31" s="46"/>
      <c r="D31" s="4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2" t="s">
        <v>469</v>
      </c>
      <c r="B32" s="43" t="s">
        <v>495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2" t="s">
        <v>470</v>
      </c>
      <c r="B33" s="44" t="s">
        <v>474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2" t="s">
        <v>472</v>
      </c>
      <c r="B34" s="71" t="s">
        <v>496</v>
      </c>
      <c r="C34" s="60"/>
      <c r="D34" s="6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>
      <c r="A36" s="70" t="s">
        <v>497</v>
      </c>
      <c r="B36" s="46"/>
      <c r="C36" s="46"/>
      <c r="D36" s="4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>
      <c r="A37" s="42" t="s">
        <v>469</v>
      </c>
      <c r="B37" s="43" t="s">
        <v>498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>
      <c r="A38" s="42" t="s">
        <v>470</v>
      </c>
      <c r="B38" s="44" t="s">
        <v>474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>
      <c r="A39" s="42" t="s">
        <v>472</v>
      </c>
      <c r="B39" s="71" t="s">
        <v>499</v>
      </c>
      <c r="C39" s="60"/>
      <c r="D39" s="6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>
      <c r="A41" s="70" t="s">
        <v>500</v>
      </c>
      <c r="B41" s="46"/>
      <c r="C41" s="46"/>
      <c r="D41" s="4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>
      <c r="A42" s="42" t="s">
        <v>469</v>
      </c>
      <c r="B42" s="43" t="s">
        <v>501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>
      <c r="A43" s="42" t="s">
        <v>470</v>
      </c>
      <c r="B43" s="44" t="s">
        <v>474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>
      <c r="A44" s="42" t="s">
        <v>472</v>
      </c>
      <c r="B44" s="71" t="s">
        <v>502</v>
      </c>
      <c r="C44" s="60"/>
      <c r="D44" s="6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>
      <c r="A46" s="70" t="s">
        <v>503</v>
      </c>
      <c r="B46" s="46"/>
      <c r="C46" s="46"/>
      <c r="D46" s="4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>
      <c r="A47" s="42" t="s">
        <v>469</v>
      </c>
      <c r="B47" s="44" t="s">
        <v>504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>
      <c r="A48" s="42" t="s">
        <v>470</v>
      </c>
      <c r="B48" s="44" t="s">
        <v>474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>
      <c r="A49" s="42" t="s">
        <v>472</v>
      </c>
      <c r="B49" s="71" t="s">
        <v>505</v>
      </c>
      <c r="C49" s="60"/>
      <c r="D49" s="6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>
      <c r="A51" s="72" t="s">
        <v>475</v>
      </c>
      <c r="B51" s="45"/>
      <c r="C51" s="45"/>
      <c r="D51" s="4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>
      <c r="A52" s="73" t="s">
        <v>506</v>
      </c>
      <c r="B52" s="45"/>
      <c r="C52" s="45"/>
      <c r="D52" s="4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73" t="s">
        <v>476</v>
      </c>
      <c r="B53" s="45"/>
      <c r="C53" s="45"/>
      <c r="D53" s="4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>
      <c r="A54" s="74" t="s">
        <v>507</v>
      </c>
      <c r="B54" s="45"/>
      <c r="C54" s="45"/>
      <c r="D54" s="4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73" t="s">
        <v>508</v>
      </c>
      <c r="B55" s="45"/>
      <c r="C55" s="45"/>
      <c r="D55" s="4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73" t="s">
        <v>509</v>
      </c>
      <c r="B56" s="45"/>
      <c r="C56" s="45"/>
      <c r="D56" s="4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7" spans="1:26" ht="1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29">
    <mergeCell ref="A55:D55"/>
    <mergeCell ref="A56:D56"/>
    <mergeCell ref="A29:D29"/>
    <mergeCell ref="A31:D31"/>
    <mergeCell ref="B34:D34"/>
    <mergeCell ref="A36:D36"/>
    <mergeCell ref="B39:D39"/>
    <mergeCell ref="A41:D41"/>
    <mergeCell ref="B44:D44"/>
    <mergeCell ref="B49:D49"/>
    <mergeCell ref="A51:D51"/>
    <mergeCell ref="A52:D52"/>
    <mergeCell ref="A53:D53"/>
    <mergeCell ref="A54:D54"/>
    <mergeCell ref="A24:D24"/>
    <mergeCell ref="A25:D25"/>
    <mergeCell ref="A26:D26"/>
    <mergeCell ref="A27:D27"/>
    <mergeCell ref="A46:D46"/>
    <mergeCell ref="A13:D13"/>
    <mergeCell ref="B16:D16"/>
    <mergeCell ref="A18:D18"/>
    <mergeCell ref="B21:D21"/>
    <mergeCell ref="A23:D23"/>
    <mergeCell ref="A1:D1"/>
    <mergeCell ref="A3:D3"/>
    <mergeCell ref="B6:D6"/>
    <mergeCell ref="A8:D8"/>
    <mergeCell ref="B11:D11"/>
  </mergeCells>
  <phoneticPr fontId="29" type="noConversion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BIM 멀티에이전트 핵심지표_유영민</vt:lpstr>
      <vt:lpstr>이슈 카드_BIM 사용 (90개)_유영민</vt:lpstr>
      <vt:lpstr>이슈 카드_BIM 미사용 (90개)_유영민</vt:lpstr>
      <vt:lpstr>CASE</vt:lpstr>
      <vt:lpstr>가중치 설명_유영민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Yoon Junghee</cp:lastModifiedBy>
  <dcterms:modified xsi:type="dcterms:W3CDTF">2025-11-25T18:19:40Z</dcterms:modified>
</cp:coreProperties>
</file>